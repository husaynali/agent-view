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KPI-CARD\data\"/>
    </mc:Choice>
  </mc:AlternateContent>
  <xr:revisionPtr revIDLastSave="0" documentId="13_ncr:1_{D32C7F9E-4257-43AB-88E1-43E94B743E0E}" xr6:coauthVersionLast="47" xr6:coauthVersionMax="47" xr10:uidLastSave="{00000000-0000-0000-0000-000000000000}"/>
  <bookViews>
    <workbookView xWindow="-120" yWindow="-120" windowWidth="24240" windowHeight="13290" activeTab="1" xr2:uid="{00000000-000D-0000-FFFF-FFFF00000000}"/>
  </bookViews>
  <sheets>
    <sheet name="KPIDB" sheetId="1" r:id="rId1"/>
    <sheet name="AGENTDB" sheetId="14" r:id="rId2"/>
    <sheet name="DRAFT" sheetId="1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3" l="1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2" i="13"/>
  <c r="B3" i="13" a="1"/>
  <c r="B3" i="13" s="1"/>
  <c r="B4" i="13" a="1"/>
  <c r="B4" i="13" s="1"/>
  <c r="B5" i="13" a="1"/>
  <c r="B5" i="13" s="1"/>
  <c r="B6" i="13" a="1"/>
  <c r="B6" i="13" s="1"/>
  <c r="B7" i="13" a="1"/>
  <c r="B7" i="13" s="1"/>
  <c r="B8" i="13" a="1"/>
  <c r="B8" i="13" s="1"/>
  <c r="B9" i="13" a="1"/>
  <c r="B9" i="13" s="1"/>
  <c r="B10" i="13" a="1"/>
  <c r="B10" i="13" s="1"/>
  <c r="B11" i="13" a="1"/>
  <c r="B11" i="13" s="1"/>
  <c r="B12" i="13" a="1"/>
  <c r="B12" i="13" s="1"/>
  <c r="B13" i="13" a="1"/>
  <c r="B13" i="13" s="1"/>
  <c r="B14" i="13" a="1"/>
  <c r="B14" i="13" s="1"/>
  <c r="B15" i="13" a="1"/>
  <c r="B15" i="13" s="1"/>
  <c r="B16" i="13" a="1"/>
  <c r="B16" i="13" s="1"/>
  <c r="B17" i="13" a="1"/>
  <c r="B17" i="13" s="1"/>
  <c r="B18" i="13" a="1"/>
  <c r="B18" i="13" s="1"/>
  <c r="B19" i="13" a="1"/>
  <c r="B19" i="13" s="1"/>
  <c r="B20" i="13" a="1"/>
  <c r="B20" i="13" s="1"/>
  <c r="B21" i="13" a="1"/>
  <c r="B21" i="13" s="1"/>
  <c r="B22" i="13" a="1"/>
  <c r="B22" i="13" s="1"/>
  <c r="B23" i="13" a="1"/>
  <c r="B23" i="13" s="1"/>
  <c r="B24" i="13" a="1"/>
  <c r="B24" i="13" s="1"/>
  <c r="B25" i="13" a="1"/>
  <c r="B25" i="13" s="1"/>
  <c r="B26" i="13" a="1"/>
  <c r="B26" i="13" s="1"/>
  <c r="B27" i="13" a="1"/>
  <c r="B27" i="13" s="1"/>
  <c r="B28" i="13" a="1"/>
  <c r="B28" i="13" s="1"/>
  <c r="B29" i="13" a="1"/>
  <c r="B29" i="13" s="1"/>
  <c r="B30" i="13" a="1"/>
  <c r="B30" i="13" s="1"/>
  <c r="B31" i="13" a="1"/>
  <c r="B31" i="13" s="1"/>
  <c r="B32" i="13" a="1"/>
  <c r="B32" i="13" s="1"/>
  <c r="B33" i="13" a="1"/>
  <c r="B33" i="13" s="1"/>
  <c r="B34" i="13" a="1"/>
  <c r="B34" i="13" s="1"/>
  <c r="B35" i="13" a="1"/>
  <c r="B35" i="13" s="1"/>
  <c r="B36" i="13" a="1"/>
  <c r="B36" i="13" s="1"/>
  <c r="B37" i="13" a="1"/>
  <c r="B37" i="13" s="1"/>
  <c r="B38" i="13" a="1"/>
  <c r="B38" i="13" s="1"/>
  <c r="B39" i="13" a="1"/>
  <c r="B39" i="13" s="1"/>
  <c r="B40" i="13" a="1"/>
  <c r="B40" i="13" s="1"/>
  <c r="B41" i="13" a="1"/>
  <c r="B41" i="13" s="1"/>
  <c r="B42" i="13" a="1"/>
  <c r="B42" i="13" s="1"/>
  <c r="B43" i="13" a="1"/>
  <c r="B43" i="13" s="1"/>
  <c r="B44" i="13" a="1"/>
  <c r="B44" i="13" s="1"/>
  <c r="B45" i="13" a="1"/>
  <c r="B45" i="13" s="1"/>
  <c r="B46" i="13" a="1"/>
  <c r="B46" i="13" s="1"/>
  <c r="B47" i="13" a="1"/>
  <c r="B47" i="13" s="1"/>
  <c r="B48" i="13" a="1"/>
  <c r="B48" i="13" s="1"/>
  <c r="B49" i="13" a="1"/>
  <c r="B49" i="13" s="1"/>
  <c r="B50" i="13" a="1"/>
  <c r="B50" i="13" s="1"/>
  <c r="B51" i="13" a="1"/>
  <c r="B51" i="13" s="1"/>
  <c r="B52" i="13" a="1"/>
  <c r="B52" i="13" s="1"/>
  <c r="B53" i="13" a="1"/>
  <c r="B53" i="13" s="1"/>
  <c r="B54" i="13" a="1"/>
  <c r="B54" i="13" s="1"/>
  <c r="B55" i="13" a="1"/>
  <c r="B55" i="13" s="1"/>
  <c r="B56" i="13" a="1"/>
  <c r="B56" i="13" s="1"/>
  <c r="B57" i="13" a="1"/>
  <c r="B57" i="13" s="1"/>
  <c r="B58" i="13" a="1"/>
  <c r="B58" i="13" s="1"/>
  <c r="B59" i="13" a="1"/>
  <c r="B59" i="13" s="1"/>
  <c r="B60" i="13" a="1"/>
  <c r="B60" i="13" s="1"/>
  <c r="B61" i="13" a="1"/>
  <c r="B61" i="13" s="1"/>
  <c r="B62" i="13" a="1"/>
  <c r="B62" i="13" s="1"/>
  <c r="B63" i="13" a="1"/>
  <c r="B63" i="13" s="1"/>
  <c r="B64" i="13" a="1"/>
  <c r="B64" i="13" s="1"/>
  <c r="B65" i="13" a="1"/>
  <c r="B65" i="13" s="1"/>
  <c r="B66" i="13" a="1"/>
  <c r="B66" i="13" s="1"/>
  <c r="B67" i="13" a="1"/>
  <c r="B67" i="13" s="1"/>
  <c r="B68" i="13" a="1"/>
  <c r="B68" i="13" s="1"/>
  <c r="B69" i="13" a="1"/>
  <c r="B69" i="13" s="1"/>
  <c r="B70" i="13" a="1"/>
  <c r="B70" i="13" s="1"/>
  <c r="B71" i="13" a="1"/>
  <c r="B71" i="13" s="1"/>
  <c r="B72" i="13" a="1"/>
  <c r="B72" i="13" s="1"/>
  <c r="B73" i="13" a="1"/>
  <c r="B73" i="13" s="1"/>
  <c r="B74" i="13" a="1"/>
  <c r="B74" i="13" s="1"/>
  <c r="B75" i="13" a="1"/>
  <c r="B75" i="13" s="1"/>
  <c r="B76" i="13" a="1"/>
  <c r="B76" i="13" s="1"/>
  <c r="B77" i="13" a="1"/>
  <c r="B77" i="13" s="1"/>
  <c r="B78" i="13" a="1"/>
  <c r="B78" i="13" s="1"/>
  <c r="B79" i="13" a="1"/>
  <c r="B79" i="13" s="1"/>
  <c r="B80" i="13" a="1"/>
  <c r="B80" i="13" s="1"/>
  <c r="B81" i="13" a="1"/>
  <c r="B81" i="13" s="1"/>
  <c r="B82" i="13" a="1"/>
  <c r="B82" i="13" s="1"/>
  <c r="B83" i="13" a="1"/>
  <c r="B83" i="13" s="1"/>
  <c r="B84" i="13" a="1"/>
  <c r="B84" i="13" s="1"/>
  <c r="B85" i="13" a="1"/>
  <c r="B85" i="13" s="1"/>
  <c r="B86" i="13" a="1"/>
  <c r="B86" i="13" s="1"/>
  <c r="B87" i="13" a="1"/>
  <c r="B87" i="13" s="1"/>
  <c r="B88" i="13" a="1"/>
  <c r="B88" i="13" s="1"/>
  <c r="B89" i="13" a="1"/>
  <c r="B89" i="13" s="1"/>
  <c r="B90" i="13" a="1"/>
  <c r="B90" i="13" s="1"/>
  <c r="B91" i="13" a="1"/>
  <c r="B91" i="13" s="1"/>
  <c r="B92" i="13" a="1"/>
  <c r="B92" i="13" s="1"/>
  <c r="B93" i="13" a="1"/>
  <c r="B93" i="13" s="1"/>
  <c r="B94" i="13" a="1"/>
  <c r="B94" i="13" s="1"/>
  <c r="B95" i="13" a="1"/>
  <c r="B95" i="13" s="1"/>
  <c r="B96" i="13" a="1"/>
  <c r="B96" i="13" s="1"/>
  <c r="B97" i="13" a="1"/>
  <c r="B97" i="13" s="1"/>
  <c r="B98" i="13" a="1"/>
  <c r="B98" i="13" s="1"/>
  <c r="B99" i="13" a="1"/>
  <c r="B99" i="13" s="1"/>
  <c r="B100" i="13" a="1"/>
  <c r="B100" i="13" s="1"/>
  <c r="B101" i="13" a="1"/>
  <c r="B101" i="13" s="1"/>
  <c r="B102" i="13" a="1"/>
  <c r="B102" i="13" s="1"/>
  <c r="B103" i="13" a="1"/>
  <c r="B103" i="13" s="1"/>
  <c r="B104" i="13" a="1"/>
  <c r="B104" i="13" s="1"/>
  <c r="B105" i="13" a="1"/>
  <c r="B105" i="13" s="1"/>
  <c r="B106" i="13" a="1"/>
  <c r="B106" i="13" s="1"/>
  <c r="B107" i="13" a="1"/>
  <c r="B107" i="13" s="1"/>
  <c r="B108" i="13" a="1"/>
  <c r="B108" i="13" s="1"/>
  <c r="B109" i="13" a="1"/>
  <c r="B109" i="13" s="1"/>
  <c r="B110" i="13" a="1"/>
  <c r="B110" i="13" s="1"/>
  <c r="B111" i="13" a="1"/>
  <c r="B111" i="13" s="1"/>
  <c r="B112" i="13" a="1"/>
  <c r="B112" i="13" s="1"/>
  <c r="B113" i="13" a="1"/>
  <c r="B113" i="13" s="1"/>
  <c r="B114" i="13" a="1"/>
  <c r="B114" i="13" s="1"/>
  <c r="B115" i="13" a="1"/>
  <c r="B115" i="13" s="1"/>
  <c r="B116" i="13" a="1"/>
  <c r="B116" i="13" s="1"/>
  <c r="B117" i="13" a="1"/>
  <c r="B117" i="13" s="1"/>
  <c r="B118" i="13" a="1"/>
  <c r="B118" i="13" s="1"/>
  <c r="B119" i="13" a="1"/>
  <c r="B119" i="13" s="1"/>
  <c r="B120" i="13" a="1"/>
  <c r="B120" i="13" s="1"/>
  <c r="B121" i="13" a="1"/>
  <c r="B121" i="13" s="1"/>
  <c r="B122" i="13" a="1"/>
  <c r="B122" i="13" s="1"/>
  <c r="B123" i="13" a="1"/>
  <c r="B123" i="13" s="1"/>
  <c r="B124" i="13" a="1"/>
  <c r="B124" i="13" s="1"/>
  <c r="B125" i="13" a="1"/>
  <c r="B125" i="13" s="1"/>
  <c r="B126" i="13" a="1"/>
  <c r="B126" i="13" s="1"/>
  <c r="B127" i="13" a="1"/>
  <c r="B127" i="13" s="1"/>
  <c r="B128" i="13" a="1"/>
  <c r="B128" i="13" s="1"/>
  <c r="B129" i="13" a="1"/>
  <c r="B129" i="13" s="1"/>
  <c r="B130" i="13" a="1"/>
  <c r="B130" i="13" s="1"/>
  <c r="B131" i="13" a="1"/>
  <c r="B131" i="13" s="1"/>
  <c r="B132" i="13" a="1"/>
  <c r="B132" i="13" s="1"/>
  <c r="B133" i="13" a="1"/>
  <c r="B133" i="13" s="1"/>
  <c r="B134" i="13" a="1"/>
  <c r="B134" i="13" s="1"/>
  <c r="B135" i="13" a="1"/>
  <c r="B135" i="13" s="1"/>
  <c r="B136" i="13" a="1"/>
  <c r="B136" i="13" s="1"/>
  <c r="B137" i="13" a="1"/>
  <c r="B137" i="13" s="1"/>
  <c r="B138" i="13" a="1"/>
  <c r="B138" i="13" s="1"/>
  <c r="B139" i="13" a="1"/>
  <c r="B139" i="13" s="1"/>
  <c r="B140" i="13" a="1"/>
  <c r="B140" i="13" s="1"/>
  <c r="B141" i="13" a="1"/>
  <c r="B141" i="13" s="1"/>
  <c r="B142" i="13" a="1"/>
  <c r="B142" i="13" s="1"/>
  <c r="B143" i="13" a="1"/>
  <c r="B143" i="13" s="1"/>
  <c r="B144" i="13" a="1"/>
  <c r="B144" i="13" s="1"/>
  <c r="B145" i="13" a="1"/>
  <c r="B145" i="13" s="1"/>
  <c r="B146" i="13" a="1"/>
  <c r="B146" i="13" s="1"/>
  <c r="B147" i="13" a="1"/>
  <c r="B147" i="13" s="1"/>
  <c r="B148" i="13" a="1"/>
  <c r="B148" i="13" s="1"/>
  <c r="B149" i="13" a="1"/>
  <c r="B149" i="13" s="1"/>
  <c r="B150" i="13" a="1"/>
  <c r="B150" i="13" s="1"/>
  <c r="B151" i="13" a="1"/>
  <c r="B151" i="13" s="1"/>
  <c r="B152" i="13" a="1"/>
  <c r="B152" i="13" s="1"/>
  <c r="B153" i="13" a="1"/>
  <c r="B153" i="13" s="1"/>
  <c r="B154" i="13" a="1"/>
  <c r="B154" i="13" s="1"/>
  <c r="B155" i="13" a="1"/>
  <c r="B155" i="13" s="1"/>
  <c r="B156" i="13" a="1"/>
  <c r="B156" i="13" s="1"/>
  <c r="B157" i="13" a="1"/>
  <c r="B157" i="13" s="1"/>
  <c r="B158" i="13" a="1"/>
  <c r="B158" i="13" s="1"/>
  <c r="B159" i="13" a="1"/>
  <c r="B159" i="13" s="1"/>
  <c r="B160" i="13" a="1"/>
  <c r="B160" i="13" s="1"/>
  <c r="B161" i="13" a="1"/>
  <c r="B161" i="13" s="1"/>
  <c r="B162" i="13" a="1"/>
  <c r="B162" i="13" s="1"/>
  <c r="B163" i="13" a="1"/>
  <c r="B163" i="13" s="1"/>
  <c r="B164" i="13" a="1"/>
  <c r="B164" i="13" s="1"/>
  <c r="B165" i="13" a="1"/>
  <c r="B165" i="13" s="1"/>
  <c r="B166" i="13" a="1"/>
  <c r="B166" i="13" s="1"/>
  <c r="B167" i="13" a="1"/>
  <c r="B167" i="13" s="1"/>
  <c r="B168" i="13" a="1"/>
  <c r="B168" i="13" s="1"/>
  <c r="B169" i="13" a="1"/>
  <c r="B169" i="13" s="1"/>
  <c r="B170" i="13" a="1"/>
  <c r="B170" i="13" s="1"/>
  <c r="B171" i="13" a="1"/>
  <c r="B171" i="13" s="1"/>
  <c r="B172" i="13" a="1"/>
  <c r="B172" i="13" s="1"/>
  <c r="B173" i="13" a="1"/>
  <c r="B173" i="13" s="1"/>
  <c r="B174" i="13" a="1"/>
  <c r="B174" i="13" s="1"/>
  <c r="B175" i="13" a="1"/>
  <c r="B175" i="13" s="1"/>
  <c r="B176" i="13" a="1"/>
  <c r="B176" i="13" s="1"/>
  <c r="B177" i="13" a="1"/>
  <c r="B177" i="13" s="1"/>
  <c r="B178" i="13" a="1"/>
  <c r="B178" i="13" s="1"/>
  <c r="B179" i="13" a="1"/>
  <c r="B179" i="13" s="1"/>
  <c r="B180" i="13" a="1"/>
  <c r="B180" i="13" s="1"/>
  <c r="B2" i="13" a="1"/>
  <c r="B2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<sst xmlns="http://schemas.openxmlformats.org/spreadsheetml/2006/main" count="1835" uniqueCount="587">
  <si>
    <t>AGENTMIS</t>
  </si>
  <si>
    <t>SIDE</t>
  </si>
  <si>
    <t>TL</t>
  </si>
  <si>
    <t>SPV</t>
  </si>
  <si>
    <t>ANS_VOL</t>
  </si>
  <si>
    <t>SURVEYED</t>
  </si>
  <si>
    <t>CSAT</t>
  </si>
  <si>
    <t>DSAT</t>
  </si>
  <si>
    <t>SOLVED</t>
  </si>
  <si>
    <t>RC1</t>
  </si>
  <si>
    <t>RC2</t>
  </si>
  <si>
    <t>RC</t>
  </si>
  <si>
    <t>BC</t>
  </si>
  <si>
    <t>CC</t>
  </si>
  <si>
    <t>EVALUATED</t>
  </si>
  <si>
    <t>PASS_EVALUATION</t>
  </si>
  <si>
    <t>FAIL_EVALUATION</t>
  </si>
  <si>
    <t>AHT_MIN</t>
  </si>
  <si>
    <t>ART_MIN</t>
  </si>
  <si>
    <t>SCHADULED</t>
  </si>
  <si>
    <t>ABSENT</t>
  </si>
  <si>
    <t>AHT_SEC</t>
  </si>
  <si>
    <t>ART_SEC</t>
  </si>
  <si>
    <t>CSAT_SCORE</t>
  </si>
  <si>
    <t>DSAT_SCORE</t>
  </si>
  <si>
    <t>ISSUE_RESOLUTION</t>
  </si>
  <si>
    <t>ACC_SCORE</t>
  </si>
  <si>
    <t>ABSENCE_SCORE</t>
  </si>
  <si>
    <t>VARIABLE</t>
  </si>
  <si>
    <t>jw_moustafagomaa</t>
  </si>
  <si>
    <t>C-Side</t>
  </si>
  <si>
    <t>Mahmoud Hamada Mohamed Kamal</t>
  </si>
  <si>
    <t>Haitham Nabil</t>
  </si>
  <si>
    <t>jw_mohamedmorsy02</t>
  </si>
  <si>
    <t>Mohamed Mamdoh Abdelmoneem Ali Hefny</t>
  </si>
  <si>
    <t>jw_omaromara</t>
  </si>
  <si>
    <t>jw_ahmedmohamed18</t>
  </si>
  <si>
    <t>jw_ahmeddalib</t>
  </si>
  <si>
    <t>Ahmed Rady Mohamed Abdelaaty</t>
  </si>
  <si>
    <t>Mariam Mohamed</t>
  </si>
  <si>
    <t>jw_amrhassan</t>
  </si>
  <si>
    <t>Omnia Reyad Younes Afifi Ghoneim</t>
  </si>
  <si>
    <t>jw_alisaif</t>
  </si>
  <si>
    <t>jw_shadyabdelhay</t>
  </si>
  <si>
    <t>jw_maryamhemida</t>
  </si>
  <si>
    <t>jw_tasneemelmoaz</t>
  </si>
  <si>
    <t>jw_medhatelseady</t>
  </si>
  <si>
    <t>Hassan Mohamed Hussein Mohamed Dahroug</t>
  </si>
  <si>
    <t>jw_youssefabdlmanem</t>
  </si>
  <si>
    <t>jw_mohamedmoaty</t>
  </si>
  <si>
    <t>jw_yousefahmed03</t>
  </si>
  <si>
    <t>jw_omniaelsayed</t>
  </si>
  <si>
    <t>jw_rahmaeid</t>
  </si>
  <si>
    <t>jw_hebaabdeltawab</t>
  </si>
  <si>
    <t>jw_ayamohamed02</t>
  </si>
  <si>
    <t>jw_dareenahmed</t>
  </si>
  <si>
    <t>jw_andrewhenter</t>
  </si>
  <si>
    <t>jw_karimabdelghany</t>
  </si>
  <si>
    <t>jw_marwanelnoor</t>
  </si>
  <si>
    <t>jw_ahmedelkader</t>
  </si>
  <si>
    <t>jw_sherifali</t>
  </si>
  <si>
    <t>Seif omar saad ahmed Ghonaim</t>
  </si>
  <si>
    <t>jw_yousefmohamed02</t>
  </si>
  <si>
    <t>jw_ahmedibrahim07</t>
  </si>
  <si>
    <t>jw_mohamedabdullah02</t>
  </si>
  <si>
    <t>jw_marwanmohamed04</t>
  </si>
  <si>
    <t>jw_abdelrahmanrafaat</t>
  </si>
  <si>
    <t>jw_abdelrahmanibrahim02</t>
  </si>
  <si>
    <t>jw_adhamabdelaziz</t>
  </si>
  <si>
    <t>jw_mohamedattia</t>
  </si>
  <si>
    <t>jw_faroukamar</t>
  </si>
  <si>
    <t>jw_mohamedelsaman</t>
  </si>
  <si>
    <t>jw_karimgaber</t>
  </si>
  <si>
    <t>jw_abdullahahmed03</t>
  </si>
  <si>
    <t>jw_karimamin</t>
  </si>
  <si>
    <t>jw_yehiamoustafa</t>
  </si>
  <si>
    <t>jw_alyglal</t>
  </si>
  <si>
    <t>jw_abdelrahmanahmed07</t>
  </si>
  <si>
    <t>jw_mahmoudsayed03</t>
  </si>
  <si>
    <t>jw_mohamedrashad02</t>
  </si>
  <si>
    <t>jw_eslamgaber</t>
  </si>
  <si>
    <t>jw_ahmedtalaat</t>
  </si>
  <si>
    <t>jw_mohamedhamada</t>
  </si>
  <si>
    <t>jw_khaledabdelsalam</t>
  </si>
  <si>
    <t>jw_ahmedsaber02</t>
  </si>
  <si>
    <t>jw_moustafanagib</t>
  </si>
  <si>
    <t>jw_abdelrahmanabdelhamid</t>
  </si>
  <si>
    <t>jw_ahmedgoda</t>
  </si>
  <si>
    <t>jw_georgejakop</t>
  </si>
  <si>
    <t>jw_elhussienymosaad</t>
  </si>
  <si>
    <t>jw_ibrahimmohamed04</t>
  </si>
  <si>
    <t>jw_mohamedibrahim07</t>
  </si>
  <si>
    <t>jw_mahmoudahmed07</t>
  </si>
  <si>
    <t>jw_mohamedramadan</t>
  </si>
  <si>
    <t>jw_sayedsayed</t>
  </si>
  <si>
    <t>jw_ameeribrahim</t>
  </si>
  <si>
    <t>jw_abdelrahmanzaky</t>
  </si>
  <si>
    <t>jw_mahmoudabbas02</t>
  </si>
  <si>
    <t>jw_moustafamoustafa02</t>
  </si>
  <si>
    <t>jw_rehabahmed02</t>
  </si>
  <si>
    <t>Rania mahmoud el sherbiny</t>
  </si>
  <si>
    <t>jw_naghamibrahim</t>
  </si>
  <si>
    <t>jw_ghadaahmed</t>
  </si>
  <si>
    <t>jw_ayaabdelhamid</t>
  </si>
  <si>
    <t>jw_farahabdelhamid</t>
  </si>
  <si>
    <t>jw_hanaabdelaty</t>
  </si>
  <si>
    <t>jw_faridaelsamea</t>
  </si>
  <si>
    <t>jw_nadafathi</t>
  </si>
  <si>
    <t>jw_ayamohamed03</t>
  </si>
  <si>
    <t>jw_alaaahmed03</t>
  </si>
  <si>
    <t>jw_esraaabdelhady</t>
  </si>
  <si>
    <t>jw_rahmaragab</t>
  </si>
  <si>
    <t>jw_raniaaahmed</t>
  </si>
  <si>
    <t>jw_marwahamdy</t>
  </si>
  <si>
    <t>jw_dinaabdullah</t>
  </si>
  <si>
    <t>jw_alaahussein</t>
  </si>
  <si>
    <t>jw_mariamhabib</t>
  </si>
  <si>
    <t>jw_esraaahmed03</t>
  </si>
  <si>
    <t>jw_shaimaamahmoud</t>
  </si>
  <si>
    <t>jw_saraelmaghny</t>
  </si>
  <si>
    <t>jw_ghadaabdelaziz</t>
  </si>
  <si>
    <t>jw_sohilaelsayed</t>
  </si>
  <si>
    <t>jw_rawanfarag</t>
  </si>
  <si>
    <t>jw_alaasaied</t>
  </si>
  <si>
    <t>jw_osamaahmed02</t>
  </si>
  <si>
    <t>jw_mayerfawzy</t>
  </si>
  <si>
    <t>jw_mohamedmohamed17</t>
  </si>
  <si>
    <t>jw_mohamedriad</t>
  </si>
  <si>
    <t>jw_fadymamdouh</t>
  </si>
  <si>
    <t>jw_ramadanmahmoud</t>
  </si>
  <si>
    <t>jw_ziadabdelhameed</t>
  </si>
  <si>
    <t>jw_ahmedelmarghany</t>
  </si>
  <si>
    <t>jw_ibrahimabdelkareem</t>
  </si>
  <si>
    <t>jw_ahmedelmoaty</t>
  </si>
  <si>
    <t>jw_ashrafmohamed</t>
  </si>
  <si>
    <t>jw_ahmedibrahim06</t>
  </si>
  <si>
    <t>jw_shadykamel</t>
  </si>
  <si>
    <t>jw_hassanhassan04</t>
  </si>
  <si>
    <t>D-Side</t>
  </si>
  <si>
    <t>Mohamed Ali Mohamed Ali Hassanien</t>
  </si>
  <si>
    <t>Amr El-Sheikh</t>
  </si>
  <si>
    <t>jw_ahmedmohamed17</t>
  </si>
  <si>
    <t>jw_felopaterabdo</t>
  </si>
  <si>
    <t>jw_hazemeltoukhy</t>
  </si>
  <si>
    <t>Abduallah Mohamed Ahmed Hassan Rashwan</t>
  </si>
  <si>
    <t>jw_mohamedfarouk</t>
  </si>
  <si>
    <t>Yassin Mogahed Yassin Ibrahim</t>
  </si>
  <si>
    <t>jw_mostafafared</t>
  </si>
  <si>
    <t>jw_kareemmohamed</t>
  </si>
  <si>
    <t>jw_adhamahmed02</t>
  </si>
  <si>
    <t>jw_abdullahmohamed04</t>
  </si>
  <si>
    <t>jw_karimyehia</t>
  </si>
  <si>
    <t>jw_naderahmed02</t>
  </si>
  <si>
    <t>jw_hamdyhamdy02</t>
  </si>
  <si>
    <t>Mai Mohamed Ibrahem yassen</t>
  </si>
  <si>
    <t>jw_andrewhabib</t>
  </si>
  <si>
    <t>jw_mohanadabdallah</t>
  </si>
  <si>
    <t>jw_ahmedalsafty</t>
  </si>
  <si>
    <t>jw_rafaelarmia</t>
  </si>
  <si>
    <t>jw_mernaelmetwally</t>
  </si>
  <si>
    <t>jw_salmasaleh</t>
  </si>
  <si>
    <t>jw_nourhanahmed02</t>
  </si>
  <si>
    <t>jw_narimanhosny</t>
  </si>
  <si>
    <t>jw_zeinabmohamed</t>
  </si>
  <si>
    <t>jw_lilianehelal</t>
  </si>
  <si>
    <t>jw_ranazakaria</t>
  </si>
  <si>
    <t>jw_amirayoussef02</t>
  </si>
  <si>
    <t>jw_yasminhelmy</t>
  </si>
  <si>
    <t>jw_janaibraheem</t>
  </si>
  <si>
    <t>jw_saraali02</t>
  </si>
  <si>
    <t>jw_shaimaaelsayed02</t>
  </si>
  <si>
    <t>jw_hadeerfahmy</t>
  </si>
  <si>
    <t>jw_rawdamahmoud</t>
  </si>
  <si>
    <t>jw_mennaabdallah</t>
  </si>
  <si>
    <t>jw_rahmamohamed</t>
  </si>
  <si>
    <t>jw_rahmasoliman</t>
  </si>
  <si>
    <t>jw_mahmoudnasser</t>
  </si>
  <si>
    <t>jw_adelmohamed02</t>
  </si>
  <si>
    <t>jw_mohamedzaky</t>
  </si>
  <si>
    <t>jw_mohamedali06</t>
  </si>
  <si>
    <t>jw_mohamedahmed11</t>
  </si>
  <si>
    <t>jw_mohamedattaya</t>
  </si>
  <si>
    <t>jw_eslamibrahim</t>
  </si>
  <si>
    <t>jw_mohamedhay02</t>
  </si>
  <si>
    <t>jw_mohammedmohameed</t>
  </si>
  <si>
    <t>jw_ahmedahmed08</t>
  </si>
  <si>
    <t>jw_abdelrahmansaadawy</t>
  </si>
  <si>
    <t>jw_mohamedmohi</t>
  </si>
  <si>
    <t>jw_abdelrahmangaber</t>
  </si>
  <si>
    <t>jw_mohamedmohamed18</t>
  </si>
  <si>
    <t>jw_tarekmohieeldien</t>
  </si>
  <si>
    <t>jw_mohamedgamil</t>
  </si>
  <si>
    <t>jw_mohamedserry</t>
  </si>
  <si>
    <t>jw_mohsenhamed</t>
  </si>
  <si>
    <t>jw_mohamedgaber</t>
  </si>
  <si>
    <t>jw_moamenelghafar</t>
  </si>
  <si>
    <t>jw_amrrazik</t>
  </si>
  <si>
    <t>jw_adhamhaliem</t>
  </si>
  <si>
    <t>jw_mohamedmahmoud06</t>
  </si>
  <si>
    <t>jw_ahmedkhalil</t>
  </si>
  <si>
    <t>jw_minazaki</t>
  </si>
  <si>
    <t>jw_ahmedothman</t>
  </si>
  <si>
    <t>jw_abdelrhmanahmed02</t>
  </si>
  <si>
    <t>jw_abdullahhassan03</t>
  </si>
  <si>
    <t>jw_youssefattia</t>
  </si>
  <si>
    <t>jw_hamdyhamdy</t>
  </si>
  <si>
    <t>jw_mazenmahfouz</t>
  </si>
  <si>
    <t>jw_mohamedabdelfattah02</t>
  </si>
  <si>
    <t>jw_johnshawky</t>
  </si>
  <si>
    <t>jw_habibamohamed</t>
  </si>
  <si>
    <t>jw_roaaahmed</t>
  </si>
  <si>
    <t>jw_esraaali</t>
  </si>
  <si>
    <t>jw_abuzeidhassan</t>
  </si>
  <si>
    <t>jw_ahmedmahdy</t>
  </si>
  <si>
    <t>jw_ahmedmahmoud07</t>
  </si>
  <si>
    <t>jw_arsanygayed</t>
  </si>
  <si>
    <t>jw_mohamednady</t>
  </si>
  <si>
    <t>jw_doaamohamed04</t>
  </si>
  <si>
    <t>jw_enjymohamed</t>
  </si>
  <si>
    <t>jw_hassanhassan05</t>
  </si>
  <si>
    <t>jw_hossamzaghlol</t>
  </si>
  <si>
    <t>jw_marinanabeeh</t>
  </si>
  <si>
    <t>jw_mostafahussien02</t>
  </si>
  <si>
    <t>jw_wessamanwar</t>
  </si>
  <si>
    <t>jw_yousefsaad02</t>
  </si>
  <si>
    <t>PASSWORD</t>
  </si>
  <si>
    <t>NAME</t>
  </si>
  <si>
    <t>ROLE</t>
  </si>
  <si>
    <t>Agent</t>
  </si>
  <si>
    <t>TFHOPEHWMQVJ</t>
  </si>
  <si>
    <t>moustafagomaa</t>
  </si>
  <si>
    <t>KSSLITRTYILA</t>
  </si>
  <si>
    <t>mohamedmorsy02</t>
  </si>
  <si>
    <t>UIGVKXAOYHLI</t>
  </si>
  <si>
    <t>omaromara</t>
  </si>
  <si>
    <t>ZIGWXABDOJOG</t>
  </si>
  <si>
    <t>ahmedmohamed18</t>
  </si>
  <si>
    <t>DHCGKCPNECXG</t>
  </si>
  <si>
    <t>ahmeddalib</t>
  </si>
  <si>
    <t>XRLAYYAZELER</t>
  </si>
  <si>
    <t>amrhassan</t>
  </si>
  <si>
    <t>VDFGYTYKYFAM</t>
  </si>
  <si>
    <t>alisaif</t>
  </si>
  <si>
    <t>WBVFSTBINVZV</t>
  </si>
  <si>
    <t>shadyabdelhay</t>
  </si>
  <si>
    <t>YCUUPRQBOQSH</t>
  </si>
  <si>
    <t>maryamhemida</t>
  </si>
  <si>
    <t>ADKUOIAXFCBW</t>
  </si>
  <si>
    <t>tasneemelmoaz</t>
  </si>
  <si>
    <t>BXHWBFFHGNEL</t>
  </si>
  <si>
    <t>medhatelseady</t>
  </si>
  <si>
    <t>FDQUPWQIYEVU</t>
  </si>
  <si>
    <t>youssefabdlmanem</t>
  </si>
  <si>
    <t>SQCTTOZQZDNP</t>
  </si>
  <si>
    <t>mohamedmoaty</t>
  </si>
  <si>
    <t>WIJCNUZXNEKD</t>
  </si>
  <si>
    <t>yousefahmed03</t>
  </si>
  <si>
    <t>JFXRYOWCGRVN</t>
  </si>
  <si>
    <t>omniaelsayed</t>
  </si>
  <si>
    <t>UUJRPTVVFHCE</t>
  </si>
  <si>
    <t>rahmaeid</t>
  </si>
  <si>
    <t>ORYTIOFNICBQ</t>
  </si>
  <si>
    <t>hebaabdeltawab</t>
  </si>
  <si>
    <t>IHGAGKWKERFL</t>
  </si>
  <si>
    <t>ayamohamed02</t>
  </si>
  <si>
    <t>XMCTTIZLGATS</t>
  </si>
  <si>
    <t>dareenahmed</t>
  </si>
  <si>
    <t>AMNXTMFFSZEL</t>
  </si>
  <si>
    <t>andrewhenter</t>
  </si>
  <si>
    <t>VSPCMDIMVAOW</t>
  </si>
  <si>
    <t>karimabdelghany</t>
  </si>
  <si>
    <t>ZPVLEYDKQRFV</t>
  </si>
  <si>
    <t>marwanelnoor</t>
  </si>
  <si>
    <t>VNXJIRJGCIVQ</t>
  </si>
  <si>
    <t>ahmedelkader</t>
  </si>
  <si>
    <t>GWTMCXSZYTXA</t>
  </si>
  <si>
    <t>sherifali</t>
  </si>
  <si>
    <t>HTZTTOVEBZBF</t>
  </si>
  <si>
    <t>yousefmohamed02</t>
  </si>
  <si>
    <t>UGOVCUERANWN</t>
  </si>
  <si>
    <t>ahmedibrahim07</t>
  </si>
  <si>
    <t>AACEHFQUYWJC</t>
  </si>
  <si>
    <t>mohamedabdullah02</t>
  </si>
  <si>
    <t>TDMYHBLKZKRS</t>
  </si>
  <si>
    <t>marwanmohamed04</t>
  </si>
  <si>
    <t>QSZGAZVQRBFG</t>
  </si>
  <si>
    <t>abdelrahmanrafaat</t>
  </si>
  <si>
    <t>TJYYVLUXZGML</t>
  </si>
  <si>
    <t>abdelrahmanibrahim02</t>
  </si>
  <si>
    <t>JLJAQYMBYYMZ</t>
  </si>
  <si>
    <t>adhamabdelaziz</t>
  </si>
  <si>
    <t>BFWLNSGVFTHL</t>
  </si>
  <si>
    <t>mohamedattia</t>
  </si>
  <si>
    <t>WPAPOAMMKXWT</t>
  </si>
  <si>
    <t>faroukamar</t>
  </si>
  <si>
    <t>PQGDMRARWBOX</t>
  </si>
  <si>
    <t>mohamedelsaman</t>
  </si>
  <si>
    <t>TOPYEEPBRHAK</t>
  </si>
  <si>
    <t>karimgaber</t>
  </si>
  <si>
    <t>HWGVPUECTCLM</t>
  </si>
  <si>
    <t>abdullahahmed03</t>
  </si>
  <si>
    <t>MHEJYWCQPVUP</t>
  </si>
  <si>
    <t>karimamin</t>
  </si>
  <si>
    <t>NEWNMKQEYJYX</t>
  </si>
  <si>
    <t>yehiamoustafa</t>
  </si>
  <si>
    <t>UTOZSCKULIHF</t>
  </si>
  <si>
    <t>alyglal</t>
  </si>
  <si>
    <t>YKUQJVAEEQPI</t>
  </si>
  <si>
    <t>abdelrahmanahmed07</t>
  </si>
  <si>
    <t>FOFQZEDFHQFX</t>
  </si>
  <si>
    <t>mahmoudsayed03</t>
  </si>
  <si>
    <t>PDYCSDNXOIYU</t>
  </si>
  <si>
    <t>mohamedrashad02</t>
  </si>
  <si>
    <t>JMZKNYYQUXSA</t>
  </si>
  <si>
    <t>eslamgaber</t>
  </si>
  <si>
    <t>ODBCWBNPYVQJ</t>
  </si>
  <si>
    <t>ahmedtalaat</t>
  </si>
  <si>
    <t>GADKLHVEVIMF</t>
  </si>
  <si>
    <t>mohamedhamada</t>
  </si>
  <si>
    <t>UYFDSBYEUILJ</t>
  </si>
  <si>
    <t>khaledabdelsalam</t>
  </si>
  <si>
    <t>TAMJBIYVQPJU</t>
  </si>
  <si>
    <t>ahmedsaber02</t>
  </si>
  <si>
    <t>YFNABBBIZYAH</t>
  </si>
  <si>
    <t>moustafanagib</t>
  </si>
  <si>
    <t>DCOHKDRUGHLW</t>
  </si>
  <si>
    <t>abdelrahmanabdelhamid</t>
  </si>
  <si>
    <t>LRKACTLSHTVF</t>
  </si>
  <si>
    <t>ahmedgoda</t>
  </si>
  <si>
    <t>GPJBTGEEHBHG</t>
  </si>
  <si>
    <t>georgejakop</t>
  </si>
  <si>
    <t>LZDLKXPVLUEU</t>
  </si>
  <si>
    <t>elhussienymosaad</t>
  </si>
  <si>
    <t>GZZGORZIDTHD</t>
  </si>
  <si>
    <t>ibrahimmohamed04</t>
  </si>
  <si>
    <t>XEZDCHWGTOJQ</t>
  </si>
  <si>
    <t>mohamedibrahim07</t>
  </si>
  <si>
    <t>SXKCJDWQJOJJ</t>
  </si>
  <si>
    <t>mahmoudahmed07</t>
  </si>
  <si>
    <t>AQYYWNTXVHIB</t>
  </si>
  <si>
    <t>mohamedramadan</t>
  </si>
  <si>
    <t>OLEQSGXOEDRF</t>
  </si>
  <si>
    <t>sayedsayed</t>
  </si>
  <si>
    <t>OGFWZIXYXHSX</t>
  </si>
  <si>
    <t>ameeribrahim</t>
  </si>
  <si>
    <t>RGNVOBXPGRCH</t>
  </si>
  <si>
    <t>abdelrahmanzaky</t>
  </si>
  <si>
    <t>GLHXAEZKNQKP</t>
  </si>
  <si>
    <t>mahmoudabbas02</t>
  </si>
  <si>
    <t>VIHZVKOUWWOE</t>
  </si>
  <si>
    <t>moustafamoustafa02</t>
  </si>
  <si>
    <t>ETXERXRHZRDW</t>
  </si>
  <si>
    <t>rehabahmed02</t>
  </si>
  <si>
    <t>UNKLQVHGRWMA</t>
  </si>
  <si>
    <t>naghamibrahim</t>
  </si>
  <si>
    <t>VHOSGCKPHEFL</t>
  </si>
  <si>
    <t>ghadaahmed</t>
  </si>
  <si>
    <t>JPNABOBNRILN</t>
  </si>
  <si>
    <t>ayaabdelhamid</t>
  </si>
  <si>
    <t>VPZLCAYBPFQF</t>
  </si>
  <si>
    <t>farahabdelhamid</t>
  </si>
  <si>
    <t>BOJTCSMEJXAR</t>
  </si>
  <si>
    <t>hanaabdelaty</t>
  </si>
  <si>
    <t>ZPSUNMYHDSQF</t>
  </si>
  <si>
    <t>faridaelsamea</t>
  </si>
  <si>
    <t>PSPLLJIFAMLY</t>
  </si>
  <si>
    <t>nadafathi</t>
  </si>
  <si>
    <t>IUHYTARVOENB</t>
  </si>
  <si>
    <t>ayamohamed03</t>
  </si>
  <si>
    <t>VFFEKRQZDYJK</t>
  </si>
  <si>
    <t>alaaahmed03</t>
  </si>
  <si>
    <t>RBPOQELIFIVU</t>
  </si>
  <si>
    <t>esraaabdelhady</t>
  </si>
  <si>
    <t>ZYYSMRDPWOEY</t>
  </si>
  <si>
    <t>rahmaragab</t>
  </si>
  <si>
    <t>ABEDYCSACDOR</t>
  </si>
  <si>
    <t>raniaaahmed</t>
  </si>
  <si>
    <t>TEMUSQIVFSPU</t>
  </si>
  <si>
    <t>marwahamdy</t>
  </si>
  <si>
    <t>UTLGDRQFVNFJ</t>
  </si>
  <si>
    <t>dinaabdullah</t>
  </si>
  <si>
    <t>JXBVVREZBLCJ</t>
  </si>
  <si>
    <t>alaahussein</t>
  </si>
  <si>
    <t>QIZFJUIAMFLW</t>
  </si>
  <si>
    <t>mariamhabib</t>
  </si>
  <si>
    <t>XCNMHPCUROHB</t>
  </si>
  <si>
    <t>esraaahmed03</t>
  </si>
  <si>
    <t>WEGEVQGFENPX</t>
  </si>
  <si>
    <t>shaimaamahmoud</t>
  </si>
  <si>
    <t>PIWMUMCRUOBL</t>
  </si>
  <si>
    <t>saraelmaghny</t>
  </si>
  <si>
    <t>RNBMILYXOKAI</t>
  </si>
  <si>
    <t>ghadaabdelaziz</t>
  </si>
  <si>
    <t>BPVRIWUMTIYG</t>
  </si>
  <si>
    <t>sohilaelsayed</t>
  </si>
  <si>
    <t>SPRIDTYRKYVM</t>
  </si>
  <si>
    <t>rawanfarag</t>
  </si>
  <si>
    <t>AQBGCWFBZBPR</t>
  </si>
  <si>
    <t>alaasaied</t>
  </si>
  <si>
    <t>MQMEWGMLPLBP</t>
  </si>
  <si>
    <t>osamaahmed02</t>
  </si>
  <si>
    <t>EZWQWEWPSULQ</t>
  </si>
  <si>
    <t>mayerfawzy</t>
  </si>
  <si>
    <t>TTDYIGLOGIBD</t>
  </si>
  <si>
    <t>mohamedmohamed17</t>
  </si>
  <si>
    <t>HFZEIJAFPEAE</t>
  </si>
  <si>
    <t>mohamedriad</t>
  </si>
  <si>
    <t>EOOIKDZZTVUW</t>
  </si>
  <si>
    <t>fadymamdouh</t>
  </si>
  <si>
    <t>ZIPBIVORXXQE</t>
  </si>
  <si>
    <t>ramadanmahmoud</t>
  </si>
  <si>
    <t>BEXRPLEVSSUH</t>
  </si>
  <si>
    <t>ziadabdelhameed</t>
  </si>
  <si>
    <t>IUMEUMVPMDLV</t>
  </si>
  <si>
    <t>ahmedelmarghany</t>
  </si>
  <si>
    <t>GQGLXUJTLPFU</t>
  </si>
  <si>
    <t>ibrahimabdelkareem</t>
  </si>
  <si>
    <t>VRNTSECKFVJK</t>
  </si>
  <si>
    <t>ahmedelmoaty</t>
  </si>
  <si>
    <t>DUWIFHJMLPQK</t>
  </si>
  <si>
    <t>ashrafmohamed</t>
  </si>
  <si>
    <t>HDEHXEVBMCBH</t>
  </si>
  <si>
    <t>ahmedibrahim06</t>
  </si>
  <si>
    <t>BAOUVUIEUKIW</t>
  </si>
  <si>
    <t>shadykamel</t>
  </si>
  <si>
    <t>CCMDLHZMVBPB</t>
  </si>
  <si>
    <t>hassanhassan04</t>
  </si>
  <si>
    <t>MKOSAGDOZEWP</t>
  </si>
  <si>
    <t>ahmedmohamed17</t>
  </si>
  <si>
    <t>ZNCUPHPAHKPT</t>
  </si>
  <si>
    <t>felopaterabdo</t>
  </si>
  <si>
    <t>BJUTLCKHVYUQ</t>
  </si>
  <si>
    <t>hazemeltoukhy</t>
  </si>
  <si>
    <t>TCUIAWHBBPIM</t>
  </si>
  <si>
    <t>mohamedfarouk</t>
  </si>
  <si>
    <t>WFZSXYPXIFIS</t>
  </si>
  <si>
    <t>mostafafared</t>
  </si>
  <si>
    <t>AJCJBXUZAXGV</t>
  </si>
  <si>
    <t>kareemmohamed</t>
  </si>
  <si>
    <t>YHWKQJXZFKFB</t>
  </si>
  <si>
    <t>adhamahmed02</t>
  </si>
  <si>
    <t>EALFONDJPBNG</t>
  </si>
  <si>
    <t>abdullahmohamed04</t>
  </si>
  <si>
    <t>VELHQXTQNCGD</t>
  </si>
  <si>
    <t>karimyehia</t>
  </si>
  <si>
    <t>CLSEPTZRENSU</t>
  </si>
  <si>
    <t>naderahmed02</t>
  </si>
  <si>
    <t>MEVSRAMVNIDN</t>
  </si>
  <si>
    <t>hamdyhamdy02</t>
  </si>
  <si>
    <t>UVSGNDKKNOBB</t>
  </si>
  <si>
    <t>andrewhabib</t>
  </si>
  <si>
    <t>OGQQUDXYZMUD</t>
  </si>
  <si>
    <t>mohanadabdallah</t>
  </si>
  <si>
    <t>MPGLVEGVBTXB</t>
  </si>
  <si>
    <t>ahmedalsafty</t>
  </si>
  <si>
    <t>AMCMFDQNRSXK</t>
  </si>
  <si>
    <t>rafaelarmia</t>
  </si>
  <si>
    <t>OGZMXCGZVXKG</t>
  </si>
  <si>
    <t>mernaelmetwally</t>
  </si>
  <si>
    <t>RAYKELXQUSCN</t>
  </si>
  <si>
    <t>salmasaleh</t>
  </si>
  <si>
    <t>QHBWBFERRDTN</t>
  </si>
  <si>
    <t>nourhanahmed02</t>
  </si>
  <si>
    <t>ZDGOXFLQEAJP</t>
  </si>
  <si>
    <t>narimanhosny</t>
  </si>
  <si>
    <t>GIZBUCMSMMQE</t>
  </si>
  <si>
    <t>zeinabmohamed</t>
  </si>
  <si>
    <t>YBCQMIQEBRPW</t>
  </si>
  <si>
    <t>lilianehelal</t>
  </si>
  <si>
    <t>QILYPIGDCYMK</t>
  </si>
  <si>
    <t>ranazakaria</t>
  </si>
  <si>
    <t>CDQBIPKIAKQF</t>
  </si>
  <si>
    <t>amirayoussef02</t>
  </si>
  <si>
    <t>ANHLCRADEASJ</t>
  </si>
  <si>
    <t>yasminhelmy</t>
  </si>
  <si>
    <t>MHBUWLDTWQKM</t>
  </si>
  <si>
    <t>janaibraheem</t>
  </si>
  <si>
    <t>JBBXUKLJWQMJ</t>
  </si>
  <si>
    <t>saraali02</t>
  </si>
  <si>
    <t>GHMHJPOHMPTW</t>
  </si>
  <si>
    <t>shaimaaelsayed02</t>
  </si>
  <si>
    <t>UYAZVDOOGQGB</t>
  </si>
  <si>
    <t>hadeerfahmy</t>
  </si>
  <si>
    <t>EURRLHWFKRMK</t>
  </si>
  <si>
    <t>rawdamahmoud</t>
  </si>
  <si>
    <t>HEQDQQYSYWUC</t>
  </si>
  <si>
    <t>mennaabdallah</t>
  </si>
  <si>
    <t>BJGPENEFDZQT</t>
  </si>
  <si>
    <t>rahmamohamed</t>
  </si>
  <si>
    <t>PVLXYUYSGZRN</t>
  </si>
  <si>
    <t>rahmasoliman</t>
  </si>
  <si>
    <t>BOEHBIYDBJGY</t>
  </si>
  <si>
    <t>mahmoudnasser</t>
  </si>
  <si>
    <t>CQDQWTXXPJSS</t>
  </si>
  <si>
    <t>adelmohamed02</t>
  </si>
  <si>
    <t>VWYVLNDKFJAA</t>
  </si>
  <si>
    <t>mohamedzaky</t>
  </si>
  <si>
    <t>HJYCMVFBKLKR</t>
  </si>
  <si>
    <t>mohamedali06</t>
  </si>
  <si>
    <t>USWVBMEUTKQM</t>
  </si>
  <si>
    <t>mohamedahmed11</t>
  </si>
  <si>
    <t>CKJKVOLBSHTR</t>
  </si>
  <si>
    <t>mohamedattaya</t>
  </si>
  <si>
    <t>QOMWGSAMROMS</t>
  </si>
  <si>
    <t>eslamibrahim</t>
  </si>
  <si>
    <t>AKQRXQYRVQAL</t>
  </si>
  <si>
    <t>mohamedhay02</t>
  </si>
  <si>
    <t>FRRUJYFMVNFD</t>
  </si>
  <si>
    <t>mohammedmohameed</t>
  </si>
  <si>
    <t>NBEJVXFGVUQS</t>
  </si>
  <si>
    <t>ahmedahmed08</t>
  </si>
  <si>
    <t>UDLHNYNFBITG</t>
  </si>
  <si>
    <t>abdelrahmansaadawy</t>
  </si>
  <si>
    <t>QRZMMPTIMYAG</t>
  </si>
  <si>
    <t>mohamedmohi</t>
  </si>
  <si>
    <t>XRDKVNSVNVEZ</t>
  </si>
  <si>
    <t>abdelrahmangaber</t>
  </si>
  <si>
    <t>LJJDQWDXKFGJ</t>
  </si>
  <si>
    <t>mohamedmohamed18</t>
  </si>
  <si>
    <t>ADDJLALUCLVR</t>
  </si>
  <si>
    <t>tarekmohieeldien</t>
  </si>
  <si>
    <t>UJRNCIPVOUGU</t>
  </si>
  <si>
    <t>mohamedgamil</t>
  </si>
  <si>
    <t>TJIQTDYYVFII</t>
  </si>
  <si>
    <t>mohamedserry</t>
  </si>
  <si>
    <t>VWXYXPPJKBFL</t>
  </si>
  <si>
    <t>mohsenhamed</t>
  </si>
  <si>
    <t>ZJHKACXNQFGN</t>
  </si>
  <si>
    <t>mohamedgaber</t>
  </si>
  <si>
    <t>XUGSHDPKALWH</t>
  </si>
  <si>
    <t>moamenelghafar</t>
  </si>
  <si>
    <t>IOBGUBOBAJGG</t>
  </si>
  <si>
    <t>amrrazik</t>
  </si>
  <si>
    <t>VEVFLHQWENWX</t>
  </si>
  <si>
    <t>adhamhaliem</t>
  </si>
  <si>
    <t>ZBJXRBADJCGC</t>
  </si>
  <si>
    <t>mohamedmahmoud06</t>
  </si>
  <si>
    <t>NXSEMMXEDOFM</t>
  </si>
  <si>
    <t>ahmedkhalil</t>
  </si>
  <si>
    <t>AQRWAWHQFBTL</t>
  </si>
  <si>
    <t>minazaki</t>
  </si>
  <si>
    <t>KTFYLZGXTZTE</t>
  </si>
  <si>
    <t>ahmedothman</t>
  </si>
  <si>
    <t>KMMQMDWKKAWY</t>
  </si>
  <si>
    <t>abdelrhmanahmed02</t>
  </si>
  <si>
    <t>JTCALKWOLYDO</t>
  </si>
  <si>
    <t>abdullahhassan03</t>
  </si>
  <si>
    <t>GDANLAZDCCFM</t>
  </si>
  <si>
    <t>youssefattia</t>
  </si>
  <si>
    <t>XYINJAFMTVGS</t>
  </si>
  <si>
    <t>hamdyhamdy</t>
  </si>
  <si>
    <t>DZCHASNFHAED</t>
  </si>
  <si>
    <t>mazenmahfouz</t>
  </si>
  <si>
    <t>AHZCSEIFEYKO</t>
  </si>
  <si>
    <t>mohamedabdelfattah02</t>
  </si>
  <si>
    <t>CCMTWLCNWAJB</t>
  </si>
  <si>
    <t>johnshawky</t>
  </si>
  <si>
    <t>GQRGDERTZXXD</t>
  </si>
  <si>
    <t>habibamohamed</t>
  </si>
  <si>
    <t>QVJFLKCTRCBV</t>
  </si>
  <si>
    <t>roaaahmed</t>
  </si>
  <si>
    <t>VAODYQZRRFSL</t>
  </si>
  <si>
    <t>esraaali</t>
  </si>
  <si>
    <t>LDCPBDMGKNTC</t>
  </si>
  <si>
    <t>abuzeidhassan</t>
  </si>
  <si>
    <t>GRKKXPIVGDYY</t>
  </si>
  <si>
    <t>ahmedmahdy</t>
  </si>
  <si>
    <t>CWDANNVKQQXH</t>
  </si>
  <si>
    <t>ahmedmahmoud07</t>
  </si>
  <si>
    <t>DXMIGRYJCPVU</t>
  </si>
  <si>
    <t>arsanygayed</t>
  </si>
  <si>
    <t>LUSFSECOELPK</t>
  </si>
  <si>
    <t>mohamednady</t>
  </si>
  <si>
    <t>WMVXRDKPBRWY</t>
  </si>
  <si>
    <t>doaamohamed04</t>
  </si>
  <si>
    <t>OOJXEPXKAMWC</t>
  </si>
  <si>
    <t>enjymohamed</t>
  </si>
  <si>
    <t>TVCPEVPTWKOQ</t>
  </si>
  <si>
    <t>hassanhassan05</t>
  </si>
  <si>
    <t>RIFXEGKENTIR</t>
  </si>
  <si>
    <t>hossamzaghlol</t>
  </si>
  <si>
    <t>POIBDGWUVSAN</t>
  </si>
  <si>
    <t>marinanabeeh</t>
  </si>
  <si>
    <t>YFFAHLKEMEHB</t>
  </si>
  <si>
    <t>mostafahussien02</t>
  </si>
  <si>
    <t>ECBUMJKKVQGD</t>
  </si>
  <si>
    <t>wessamanwar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</si>
</sst>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"/>
  </numFmts>
  <fonts count="6" x14ac:knownFonts="1">
    <font>
      <sz val="10"/>
      <color rgb="FF000000"/>
      <name val="Arial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0000"/>
        <bgColor rgb="FF660000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3" fillId="0" borderId="0" xfId="0" applyNumberFormat="1" applyFont="1"/>
    <xf numFmtId="164" fontId="3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3" borderId="7" xfId="0" applyFont="1" applyFill="1" applyBorder="1"/>
    <xf numFmtId="0" fontId="5" fillId="0" borderId="7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2D4A885-4032-479A-A504-5899BB5298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983"/>
  <sheetViews>
    <sheetView topLeftCell="Q1" workbookViewId="0">
      <selection activeCell="T23" sqref="A1:AG181"/>
    </sheetView>
  </sheetViews>
  <sheetFormatPr defaultColWidth="12.5703125" defaultRowHeight="15.75" customHeight="1" x14ac:dyDescent="0.2"/>
  <cols>
    <col min="1" max="1" width="29.42578125" bestFit="1" customWidth="1"/>
    <col min="2" max="2" width="7.85546875" bestFit="1" customWidth="1"/>
    <col min="3" max="3" width="48.7109375" bestFit="1" customWidth="1"/>
    <col min="4" max="4" width="19" bestFit="1" customWidth="1"/>
    <col min="5" max="5" width="10.7109375" bestFit="1" customWidth="1"/>
    <col min="6" max="6" width="12.7109375" bestFit="1" customWidth="1"/>
    <col min="7" max="8" width="6.7109375" bestFit="1" customWidth="1"/>
    <col min="9" max="9" width="9.7109375" bestFit="1" customWidth="1"/>
    <col min="10" max="11" width="5.28515625" bestFit="1" customWidth="1"/>
    <col min="12" max="14" width="4.140625" bestFit="1" customWidth="1"/>
    <col min="15" max="15" width="13.7109375" bestFit="1" customWidth="1"/>
    <col min="16" max="16" width="21.5703125" bestFit="1" customWidth="1"/>
    <col min="17" max="17" width="20.28515625" bestFit="1" customWidth="1"/>
    <col min="18" max="19" width="10.42578125" bestFit="1" customWidth="1"/>
    <col min="20" max="20" width="14.42578125" bestFit="1" customWidth="1"/>
    <col min="21" max="21" width="9.7109375" bestFit="1" customWidth="1"/>
    <col min="22" max="23" width="10.85546875" bestFit="1" customWidth="1"/>
    <col min="24" max="25" width="15.7109375" bestFit="1" customWidth="1"/>
    <col min="26" max="26" width="23.28515625" bestFit="1" customWidth="1"/>
    <col min="27" max="28" width="5.28515625" bestFit="1" customWidth="1"/>
    <col min="29" max="30" width="4.140625" bestFit="1" customWidth="1"/>
    <col min="31" max="31" width="14.42578125" bestFit="1" customWidth="1"/>
    <col min="32" max="32" width="20.42578125" bestFit="1" customWidth="1"/>
    <col min="33" max="33" width="11.28515625" bestFit="1" customWidth="1"/>
  </cols>
  <sheetData>
    <row r="1" spans="1:33" ht="15.75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9</v>
      </c>
      <c r="AB1" s="11" t="s">
        <v>10</v>
      </c>
      <c r="AC1" s="11" t="s">
        <v>12</v>
      </c>
      <c r="AD1" s="11" t="s">
        <v>13</v>
      </c>
      <c r="AE1" s="11" t="s">
        <v>26</v>
      </c>
      <c r="AF1" s="11" t="s">
        <v>27</v>
      </c>
      <c r="AG1" s="11" t="s">
        <v>28</v>
      </c>
    </row>
    <row r="2" spans="1:33" ht="15.75" customHeight="1" x14ac:dyDescent="0.2">
      <c r="A2" s="12" t="s">
        <v>29</v>
      </c>
      <c r="B2" s="12" t="s">
        <v>30</v>
      </c>
      <c r="C2" s="12" t="s">
        <v>31</v>
      </c>
      <c r="D2" s="12" t="s">
        <v>32</v>
      </c>
      <c r="E2" s="12">
        <v>411</v>
      </c>
      <c r="F2" s="12">
        <v>64</v>
      </c>
      <c r="G2" s="12">
        <v>33</v>
      </c>
      <c r="H2" s="12">
        <v>25</v>
      </c>
      <c r="I2" s="12">
        <v>37</v>
      </c>
      <c r="J2" s="12">
        <v>0</v>
      </c>
      <c r="K2" s="12">
        <v>0</v>
      </c>
      <c r="L2" s="12">
        <v>0</v>
      </c>
      <c r="M2" s="12">
        <v>2</v>
      </c>
      <c r="N2" s="12">
        <v>5</v>
      </c>
      <c r="O2" s="12">
        <v>6</v>
      </c>
      <c r="P2" s="12">
        <v>1</v>
      </c>
      <c r="Q2" s="12">
        <v>5</v>
      </c>
      <c r="R2" s="12">
        <v>6.67</v>
      </c>
      <c r="S2" s="12">
        <v>0.41599999999999998</v>
      </c>
      <c r="T2" s="12">
        <v>20</v>
      </c>
      <c r="U2" s="12">
        <v>1</v>
      </c>
      <c r="V2" s="12">
        <v>400</v>
      </c>
      <c r="W2" s="12">
        <v>25</v>
      </c>
      <c r="X2" s="12">
        <v>0.51559999999999995</v>
      </c>
      <c r="Y2" s="12">
        <v>0.3906</v>
      </c>
      <c r="Z2" s="12">
        <v>0.57809999999999995</v>
      </c>
      <c r="AA2" s="12">
        <v>0</v>
      </c>
      <c r="AB2" s="12">
        <v>0</v>
      </c>
      <c r="AC2" s="12">
        <v>2</v>
      </c>
      <c r="AD2" s="12">
        <v>5</v>
      </c>
      <c r="AE2" s="12">
        <v>0.16669999999999999</v>
      </c>
      <c r="AF2" s="12">
        <v>0.05</v>
      </c>
      <c r="AG2" s="12">
        <v>25</v>
      </c>
    </row>
    <row r="3" spans="1:33" ht="15.75" customHeight="1" x14ac:dyDescent="0.2">
      <c r="A3" s="12" t="s">
        <v>33</v>
      </c>
      <c r="B3" s="12" t="s">
        <v>30</v>
      </c>
      <c r="C3" s="12" t="s">
        <v>34</v>
      </c>
      <c r="D3" s="12" t="s">
        <v>32</v>
      </c>
      <c r="E3" s="12">
        <v>346</v>
      </c>
      <c r="F3" s="12">
        <v>34</v>
      </c>
      <c r="G3" s="12">
        <v>15</v>
      </c>
      <c r="H3" s="12">
        <v>16</v>
      </c>
      <c r="I3" s="12">
        <v>16</v>
      </c>
      <c r="J3" s="12">
        <v>0</v>
      </c>
      <c r="K3" s="12">
        <v>0</v>
      </c>
      <c r="L3" s="12">
        <v>0</v>
      </c>
      <c r="M3" s="12">
        <v>5</v>
      </c>
      <c r="N3" s="12">
        <v>6</v>
      </c>
      <c r="O3" s="12">
        <v>6</v>
      </c>
      <c r="P3" s="12">
        <v>0</v>
      </c>
      <c r="Q3" s="12">
        <v>6</v>
      </c>
      <c r="R3" s="12">
        <v>7.73</v>
      </c>
      <c r="S3" s="12">
        <v>0.41899999999999998</v>
      </c>
      <c r="T3" s="12">
        <v>19</v>
      </c>
      <c r="U3" s="12">
        <v>1</v>
      </c>
      <c r="V3" s="12">
        <v>464</v>
      </c>
      <c r="W3" s="12">
        <v>25</v>
      </c>
      <c r="X3" s="12">
        <v>0.44119999999999998</v>
      </c>
      <c r="Y3" s="12">
        <v>0.47060000000000002</v>
      </c>
      <c r="Z3" s="12">
        <v>0.47060000000000002</v>
      </c>
      <c r="AA3" s="12">
        <v>0</v>
      </c>
      <c r="AB3" s="12">
        <v>0</v>
      </c>
      <c r="AC3" s="12">
        <v>5</v>
      </c>
      <c r="AD3" s="12">
        <v>6</v>
      </c>
      <c r="AE3" s="12">
        <v>0</v>
      </c>
      <c r="AF3" s="12">
        <v>5.2600000000000001E-2</v>
      </c>
      <c r="AG3" s="12">
        <v>25</v>
      </c>
    </row>
    <row r="4" spans="1:33" ht="15.75" customHeight="1" x14ac:dyDescent="0.2">
      <c r="A4" s="12" t="s">
        <v>35</v>
      </c>
      <c r="B4" s="12" t="s">
        <v>30</v>
      </c>
      <c r="C4" s="12" t="s">
        <v>34</v>
      </c>
      <c r="D4" s="12" t="s">
        <v>32</v>
      </c>
      <c r="E4" s="12">
        <v>370</v>
      </c>
      <c r="F4" s="12">
        <v>39</v>
      </c>
      <c r="G4" s="12">
        <v>15</v>
      </c>
      <c r="H4" s="12">
        <v>20</v>
      </c>
      <c r="I4" s="12">
        <v>16</v>
      </c>
      <c r="J4" s="12">
        <v>0</v>
      </c>
      <c r="K4" s="12">
        <v>0</v>
      </c>
      <c r="L4" s="12">
        <v>0</v>
      </c>
      <c r="M4" s="12">
        <v>5</v>
      </c>
      <c r="N4" s="12">
        <v>3</v>
      </c>
      <c r="O4" s="12">
        <v>6</v>
      </c>
      <c r="P4" s="12">
        <v>0</v>
      </c>
      <c r="Q4" s="12">
        <v>6</v>
      </c>
      <c r="R4" s="12">
        <v>6.9</v>
      </c>
      <c r="S4" s="12">
        <v>0.38</v>
      </c>
      <c r="T4" s="12">
        <v>19</v>
      </c>
      <c r="U4" s="12">
        <v>3</v>
      </c>
      <c r="V4" s="12">
        <v>414</v>
      </c>
      <c r="W4" s="12">
        <v>23</v>
      </c>
      <c r="X4" s="12">
        <v>0.3846</v>
      </c>
      <c r="Y4" s="12">
        <v>0.51280000000000003</v>
      </c>
      <c r="Z4" s="12">
        <v>0.4103</v>
      </c>
      <c r="AA4" s="12">
        <v>0</v>
      </c>
      <c r="AB4" s="12">
        <v>0</v>
      </c>
      <c r="AC4" s="12">
        <v>5</v>
      </c>
      <c r="AD4" s="12">
        <v>3</v>
      </c>
      <c r="AE4" s="12">
        <v>0</v>
      </c>
      <c r="AF4" s="12">
        <v>0.15790000000000001</v>
      </c>
      <c r="AG4" s="12">
        <v>25</v>
      </c>
    </row>
    <row r="5" spans="1:33" ht="15.75" customHeight="1" x14ac:dyDescent="0.2">
      <c r="A5" s="12" t="s">
        <v>36</v>
      </c>
      <c r="B5" s="12" t="s">
        <v>30</v>
      </c>
      <c r="C5" s="12" t="s">
        <v>34</v>
      </c>
      <c r="D5" s="12" t="s">
        <v>32</v>
      </c>
      <c r="E5" s="12">
        <v>403</v>
      </c>
      <c r="F5" s="12">
        <v>64</v>
      </c>
      <c r="G5" s="12">
        <v>34</v>
      </c>
      <c r="H5" s="12">
        <v>28</v>
      </c>
      <c r="I5" s="12">
        <v>31</v>
      </c>
      <c r="J5" s="12">
        <v>0</v>
      </c>
      <c r="K5" s="12">
        <v>0</v>
      </c>
      <c r="L5" s="12">
        <v>0</v>
      </c>
      <c r="M5" s="12">
        <v>3</v>
      </c>
      <c r="N5" s="12">
        <v>3</v>
      </c>
      <c r="O5" s="12">
        <v>8</v>
      </c>
      <c r="P5" s="12">
        <v>4</v>
      </c>
      <c r="Q5" s="12">
        <v>4</v>
      </c>
      <c r="R5" s="12">
        <v>6.19</v>
      </c>
      <c r="S5" s="12">
        <v>0.221</v>
      </c>
      <c r="T5" s="12">
        <v>19</v>
      </c>
      <c r="U5" s="12">
        <v>0</v>
      </c>
      <c r="V5" s="12">
        <v>371</v>
      </c>
      <c r="W5" s="12">
        <v>13</v>
      </c>
      <c r="X5" s="12">
        <v>0.53129999999999999</v>
      </c>
      <c r="Y5" s="12">
        <v>0.4375</v>
      </c>
      <c r="Z5" s="12">
        <v>0.4844</v>
      </c>
      <c r="AA5" s="12">
        <v>0</v>
      </c>
      <c r="AB5" s="12">
        <v>0</v>
      </c>
      <c r="AC5" s="12">
        <v>3</v>
      </c>
      <c r="AD5" s="12">
        <v>3</v>
      </c>
      <c r="AE5" s="12">
        <v>0.5</v>
      </c>
      <c r="AF5" s="12">
        <v>0</v>
      </c>
      <c r="AG5" s="12">
        <v>25</v>
      </c>
    </row>
    <row r="6" spans="1:33" ht="15.75" customHeight="1" x14ac:dyDescent="0.2">
      <c r="A6" s="12" t="s">
        <v>37</v>
      </c>
      <c r="B6" s="12" t="s">
        <v>30</v>
      </c>
      <c r="C6" s="12" t="s">
        <v>38</v>
      </c>
      <c r="D6" s="12" t="s">
        <v>39</v>
      </c>
      <c r="E6" s="12">
        <v>403</v>
      </c>
      <c r="F6" s="12">
        <v>43</v>
      </c>
      <c r="G6" s="12">
        <v>19</v>
      </c>
      <c r="H6" s="12">
        <v>20</v>
      </c>
      <c r="I6" s="12">
        <v>18</v>
      </c>
      <c r="J6" s="12">
        <v>0</v>
      </c>
      <c r="K6" s="12">
        <v>0</v>
      </c>
      <c r="L6" s="12">
        <v>0</v>
      </c>
      <c r="M6" s="12">
        <v>2</v>
      </c>
      <c r="N6" s="12">
        <v>2</v>
      </c>
      <c r="O6" s="12">
        <v>4</v>
      </c>
      <c r="P6" s="12">
        <v>2</v>
      </c>
      <c r="Q6" s="12">
        <v>2</v>
      </c>
      <c r="R6" s="12">
        <v>6.14</v>
      </c>
      <c r="S6" s="12">
        <v>0.3</v>
      </c>
      <c r="T6" s="12">
        <v>20</v>
      </c>
      <c r="U6" s="12">
        <v>0</v>
      </c>
      <c r="V6" s="12">
        <v>369</v>
      </c>
      <c r="W6" s="12">
        <v>18</v>
      </c>
      <c r="X6" s="12">
        <v>0.44190000000000002</v>
      </c>
      <c r="Y6" s="12">
        <v>0.46510000000000001</v>
      </c>
      <c r="Z6" s="12">
        <v>0.41860000000000003</v>
      </c>
      <c r="AA6" s="12">
        <v>0</v>
      </c>
      <c r="AB6" s="12">
        <v>0</v>
      </c>
      <c r="AC6" s="12">
        <v>2</v>
      </c>
      <c r="AD6" s="12">
        <v>2</v>
      </c>
      <c r="AE6" s="12">
        <v>0.5</v>
      </c>
      <c r="AF6" s="12">
        <v>0</v>
      </c>
      <c r="AG6" s="12">
        <v>30</v>
      </c>
    </row>
    <row r="7" spans="1:33" ht="15.75" customHeight="1" x14ac:dyDescent="0.2">
      <c r="A7" s="12" t="s">
        <v>40</v>
      </c>
      <c r="B7" s="12" t="s">
        <v>30</v>
      </c>
      <c r="C7" s="12" t="s">
        <v>41</v>
      </c>
      <c r="D7" s="12" t="s">
        <v>39</v>
      </c>
      <c r="E7" s="12">
        <v>203</v>
      </c>
      <c r="F7" s="12">
        <v>17</v>
      </c>
      <c r="G7" s="12">
        <v>9</v>
      </c>
      <c r="H7" s="12">
        <v>7</v>
      </c>
      <c r="I7" s="12">
        <v>9</v>
      </c>
      <c r="J7" s="12">
        <v>0</v>
      </c>
      <c r="K7" s="12">
        <v>0</v>
      </c>
      <c r="L7" s="12">
        <v>0</v>
      </c>
      <c r="M7" s="12">
        <v>3</v>
      </c>
      <c r="N7" s="12">
        <v>4</v>
      </c>
      <c r="O7" s="12">
        <v>6</v>
      </c>
      <c r="P7" s="12">
        <v>2</v>
      </c>
      <c r="Q7" s="12">
        <v>4</v>
      </c>
      <c r="R7" s="12">
        <v>4.95</v>
      </c>
      <c r="S7" s="12">
        <v>0.20200000000000001</v>
      </c>
      <c r="T7" s="12">
        <v>20</v>
      </c>
      <c r="U7" s="12">
        <v>2</v>
      </c>
      <c r="V7" s="12">
        <v>297</v>
      </c>
      <c r="W7" s="12">
        <v>12</v>
      </c>
      <c r="X7" s="12">
        <v>0.52939999999999998</v>
      </c>
      <c r="Y7" s="12">
        <v>0.4118</v>
      </c>
      <c r="Z7" s="12">
        <v>0.52939999999999998</v>
      </c>
      <c r="AA7" s="12">
        <v>0</v>
      </c>
      <c r="AB7" s="12">
        <v>0</v>
      </c>
      <c r="AC7" s="12">
        <v>3</v>
      </c>
      <c r="AD7" s="12">
        <v>4</v>
      </c>
      <c r="AE7" s="12">
        <v>0.33329999999999999</v>
      </c>
      <c r="AF7" s="12">
        <v>0.1</v>
      </c>
      <c r="AG7" s="12">
        <v>25</v>
      </c>
    </row>
    <row r="8" spans="1:33" ht="15.75" customHeight="1" x14ac:dyDescent="0.2">
      <c r="A8" s="12" t="s">
        <v>42</v>
      </c>
      <c r="B8" s="12" t="s">
        <v>30</v>
      </c>
      <c r="C8" s="12" t="s">
        <v>34</v>
      </c>
      <c r="D8" s="12" t="s">
        <v>32</v>
      </c>
      <c r="E8" s="12">
        <v>453</v>
      </c>
      <c r="F8" s="12">
        <v>57</v>
      </c>
      <c r="G8" s="12">
        <v>33</v>
      </c>
      <c r="H8" s="12">
        <v>22</v>
      </c>
      <c r="I8" s="12">
        <v>31</v>
      </c>
      <c r="J8" s="12">
        <v>0</v>
      </c>
      <c r="K8" s="12">
        <v>0</v>
      </c>
      <c r="L8" s="12">
        <v>0</v>
      </c>
      <c r="M8" s="12">
        <v>3</v>
      </c>
      <c r="N8" s="12">
        <v>3</v>
      </c>
      <c r="O8" s="12">
        <v>5</v>
      </c>
      <c r="P8" s="12">
        <v>1</v>
      </c>
      <c r="Q8" s="12">
        <v>4</v>
      </c>
      <c r="R8" s="12">
        <v>5.17</v>
      </c>
      <c r="S8" s="12">
        <v>0.39100000000000001</v>
      </c>
      <c r="T8" s="12">
        <v>19</v>
      </c>
      <c r="U8" s="12">
        <v>0</v>
      </c>
      <c r="V8" s="12">
        <v>310</v>
      </c>
      <c r="W8" s="12">
        <v>23</v>
      </c>
      <c r="X8" s="12">
        <v>0.57889999999999997</v>
      </c>
      <c r="Y8" s="12">
        <v>0.38600000000000001</v>
      </c>
      <c r="Z8" s="12">
        <v>0.54390000000000005</v>
      </c>
      <c r="AA8" s="12">
        <v>0</v>
      </c>
      <c r="AB8" s="12">
        <v>0</v>
      </c>
      <c r="AC8" s="12">
        <v>3</v>
      </c>
      <c r="AD8" s="12">
        <v>3</v>
      </c>
      <c r="AE8" s="12">
        <v>0.2</v>
      </c>
      <c r="AF8" s="12">
        <v>0</v>
      </c>
      <c r="AG8" s="12">
        <v>25</v>
      </c>
    </row>
    <row r="9" spans="1:33" ht="15.75" customHeight="1" x14ac:dyDescent="0.2">
      <c r="A9" s="12" t="s">
        <v>43</v>
      </c>
      <c r="B9" s="12" t="s">
        <v>30</v>
      </c>
      <c r="C9" s="12" t="s">
        <v>34</v>
      </c>
      <c r="D9" s="12" t="s">
        <v>32</v>
      </c>
      <c r="E9" s="12">
        <v>266</v>
      </c>
      <c r="F9" s="12">
        <v>40</v>
      </c>
      <c r="G9" s="12">
        <v>32</v>
      </c>
      <c r="H9" s="12">
        <v>7</v>
      </c>
      <c r="I9" s="12">
        <v>31</v>
      </c>
      <c r="J9" s="12">
        <v>0</v>
      </c>
      <c r="K9" s="12">
        <v>0</v>
      </c>
      <c r="L9" s="12">
        <v>0</v>
      </c>
      <c r="M9" s="12">
        <v>1</v>
      </c>
      <c r="N9" s="12">
        <v>2</v>
      </c>
      <c r="O9" s="12">
        <v>3</v>
      </c>
      <c r="P9" s="12">
        <v>1</v>
      </c>
      <c r="Q9" s="12">
        <v>2</v>
      </c>
      <c r="R9" s="12">
        <v>10.050000000000001</v>
      </c>
      <c r="S9" s="12">
        <v>0.39800000000000002</v>
      </c>
      <c r="T9" s="12">
        <v>19</v>
      </c>
      <c r="U9" s="12">
        <v>3</v>
      </c>
      <c r="V9" s="12">
        <v>603</v>
      </c>
      <c r="W9" s="12">
        <v>24</v>
      </c>
      <c r="X9" s="12">
        <v>0.8</v>
      </c>
      <c r="Y9" s="12">
        <v>0.17499999999999999</v>
      </c>
      <c r="Z9" s="12">
        <v>0.77500000000000002</v>
      </c>
      <c r="AA9" s="12">
        <v>0</v>
      </c>
      <c r="AB9" s="12">
        <v>0</v>
      </c>
      <c r="AC9" s="12">
        <v>1</v>
      </c>
      <c r="AD9" s="12">
        <v>2</v>
      </c>
      <c r="AE9" s="12">
        <v>0.33329999999999999</v>
      </c>
      <c r="AF9" s="12">
        <v>0.15790000000000001</v>
      </c>
      <c r="AG9" s="12">
        <v>67</v>
      </c>
    </row>
    <row r="10" spans="1:33" ht="15.75" customHeight="1" x14ac:dyDescent="0.2">
      <c r="A10" s="12" t="s">
        <v>44</v>
      </c>
      <c r="B10" s="12" t="s">
        <v>30</v>
      </c>
      <c r="C10" s="12" t="s">
        <v>41</v>
      </c>
      <c r="D10" s="12" t="s">
        <v>39</v>
      </c>
      <c r="E10" s="12">
        <v>382</v>
      </c>
      <c r="F10" s="12">
        <v>44</v>
      </c>
      <c r="G10" s="12">
        <v>24</v>
      </c>
      <c r="H10" s="12">
        <v>15</v>
      </c>
      <c r="I10" s="12">
        <v>25</v>
      </c>
      <c r="J10" s="12">
        <v>0</v>
      </c>
      <c r="K10" s="12">
        <v>0</v>
      </c>
      <c r="L10" s="12">
        <v>0</v>
      </c>
      <c r="M10" s="12">
        <v>6</v>
      </c>
      <c r="N10" s="12">
        <v>6</v>
      </c>
      <c r="O10" s="12">
        <v>7</v>
      </c>
      <c r="P10" s="12">
        <v>0</v>
      </c>
      <c r="Q10" s="12">
        <v>7</v>
      </c>
      <c r="R10" s="12">
        <v>8.23</v>
      </c>
      <c r="S10" s="12">
        <v>0.45</v>
      </c>
      <c r="T10" s="12">
        <v>21</v>
      </c>
      <c r="U10" s="12">
        <v>4</v>
      </c>
      <c r="V10" s="12">
        <v>494</v>
      </c>
      <c r="W10" s="12">
        <v>27</v>
      </c>
      <c r="X10" s="12">
        <v>0.54549999999999998</v>
      </c>
      <c r="Y10" s="12">
        <v>0.34089999999999998</v>
      </c>
      <c r="Z10" s="12">
        <v>0.56820000000000004</v>
      </c>
      <c r="AA10" s="12">
        <v>0</v>
      </c>
      <c r="AB10" s="12">
        <v>0</v>
      </c>
      <c r="AC10" s="12">
        <v>6</v>
      </c>
      <c r="AD10" s="12">
        <v>6</v>
      </c>
      <c r="AE10" s="12">
        <v>0</v>
      </c>
      <c r="AF10" s="12">
        <v>0.1905</v>
      </c>
      <c r="AG10" s="12">
        <v>25</v>
      </c>
    </row>
    <row r="11" spans="1:33" ht="15.75" customHeight="1" x14ac:dyDescent="0.2">
      <c r="A11" s="12" t="s">
        <v>45</v>
      </c>
      <c r="B11" s="12" t="s">
        <v>30</v>
      </c>
      <c r="C11" s="12" t="s">
        <v>41</v>
      </c>
      <c r="D11" s="12" t="s">
        <v>39</v>
      </c>
      <c r="E11" s="12">
        <v>331</v>
      </c>
      <c r="F11" s="12">
        <v>48</v>
      </c>
      <c r="G11" s="12">
        <v>32</v>
      </c>
      <c r="H11" s="12">
        <v>12</v>
      </c>
      <c r="I11" s="12">
        <v>32</v>
      </c>
      <c r="J11" s="12">
        <v>0</v>
      </c>
      <c r="K11" s="12">
        <v>0</v>
      </c>
      <c r="L11" s="12">
        <v>0</v>
      </c>
      <c r="M11" s="12">
        <v>4</v>
      </c>
      <c r="N11" s="12">
        <v>4</v>
      </c>
      <c r="O11" s="12">
        <v>5</v>
      </c>
      <c r="P11" s="12">
        <v>0</v>
      </c>
      <c r="Q11" s="12">
        <v>5</v>
      </c>
      <c r="R11" s="12">
        <v>5.65</v>
      </c>
      <c r="S11" s="12">
        <v>0.27600000000000002</v>
      </c>
      <c r="T11" s="12">
        <v>22</v>
      </c>
      <c r="U11" s="12">
        <v>6</v>
      </c>
      <c r="V11" s="12">
        <v>339</v>
      </c>
      <c r="W11" s="12">
        <v>17</v>
      </c>
      <c r="X11" s="12">
        <v>0.66669999999999996</v>
      </c>
      <c r="Y11" s="12">
        <v>0.25</v>
      </c>
      <c r="Z11" s="12">
        <v>0.66669999999999996</v>
      </c>
      <c r="AA11" s="12">
        <v>0</v>
      </c>
      <c r="AB11" s="12">
        <v>0</v>
      </c>
      <c r="AC11" s="12">
        <v>4</v>
      </c>
      <c r="AD11" s="12">
        <v>4</v>
      </c>
      <c r="AE11" s="12">
        <v>0</v>
      </c>
      <c r="AF11" s="12">
        <v>0.2727</v>
      </c>
      <c r="AG11" s="12">
        <v>50</v>
      </c>
    </row>
    <row r="12" spans="1:33" ht="15.75" customHeight="1" x14ac:dyDescent="0.2">
      <c r="A12" s="12" t="s">
        <v>46</v>
      </c>
      <c r="B12" s="12" t="s">
        <v>30</v>
      </c>
      <c r="C12" s="12" t="s">
        <v>47</v>
      </c>
      <c r="D12" s="12" t="s">
        <v>32</v>
      </c>
      <c r="E12" s="12">
        <v>228</v>
      </c>
      <c r="F12" s="12">
        <v>26</v>
      </c>
      <c r="G12" s="12">
        <v>17</v>
      </c>
      <c r="H12" s="12">
        <v>9</v>
      </c>
      <c r="I12" s="12">
        <v>16</v>
      </c>
      <c r="J12" s="12">
        <v>0</v>
      </c>
      <c r="K12" s="12">
        <v>0</v>
      </c>
      <c r="L12" s="12">
        <v>0</v>
      </c>
      <c r="M12" s="12">
        <v>2</v>
      </c>
      <c r="N12" s="12">
        <v>0</v>
      </c>
      <c r="O12" s="12">
        <v>2</v>
      </c>
      <c r="P12" s="12">
        <v>0</v>
      </c>
      <c r="Q12" s="12">
        <v>2</v>
      </c>
      <c r="R12" s="12">
        <v>14.44</v>
      </c>
      <c r="S12" s="12">
        <v>0.60099999999999998</v>
      </c>
      <c r="T12" s="12">
        <v>19</v>
      </c>
      <c r="U12" s="12">
        <v>6</v>
      </c>
      <c r="V12" s="12">
        <v>867</v>
      </c>
      <c r="W12" s="12">
        <v>36</v>
      </c>
      <c r="X12" s="12">
        <v>0.65380000000000005</v>
      </c>
      <c r="Y12" s="12">
        <v>0.34620000000000001</v>
      </c>
      <c r="Z12" s="12">
        <v>0.61539999999999995</v>
      </c>
      <c r="AA12" s="12">
        <v>0</v>
      </c>
      <c r="AB12" s="12">
        <v>0</v>
      </c>
      <c r="AC12" s="12">
        <v>2</v>
      </c>
      <c r="AD12" s="12">
        <v>0</v>
      </c>
      <c r="AE12" s="12">
        <v>0</v>
      </c>
      <c r="AF12" s="12">
        <v>0.31580000000000003</v>
      </c>
      <c r="AG12" s="12">
        <v>40</v>
      </c>
    </row>
    <row r="13" spans="1:33" ht="15.75" customHeight="1" x14ac:dyDescent="0.2">
      <c r="A13" s="12" t="s">
        <v>48</v>
      </c>
      <c r="B13" s="12" t="s">
        <v>30</v>
      </c>
      <c r="C13" s="12" t="s">
        <v>47</v>
      </c>
      <c r="D13" s="12" t="s">
        <v>32</v>
      </c>
      <c r="E13" s="12">
        <v>385</v>
      </c>
      <c r="F13" s="12">
        <v>76</v>
      </c>
      <c r="G13" s="12">
        <v>60</v>
      </c>
      <c r="H13" s="12">
        <v>12</v>
      </c>
      <c r="I13" s="12">
        <v>62</v>
      </c>
      <c r="J13" s="12">
        <v>0</v>
      </c>
      <c r="K13" s="12">
        <v>0</v>
      </c>
      <c r="L13" s="12">
        <v>0</v>
      </c>
      <c r="M13" s="12">
        <v>3</v>
      </c>
      <c r="N13" s="12">
        <v>3</v>
      </c>
      <c r="O13" s="12">
        <v>5</v>
      </c>
      <c r="P13" s="12">
        <v>1</v>
      </c>
      <c r="Q13" s="12">
        <v>4</v>
      </c>
      <c r="R13" s="12">
        <v>5.58</v>
      </c>
      <c r="S13" s="12">
        <v>0.28599999999999998</v>
      </c>
      <c r="T13" s="12">
        <v>20</v>
      </c>
      <c r="U13" s="12">
        <v>0</v>
      </c>
      <c r="V13" s="12">
        <v>335</v>
      </c>
      <c r="W13" s="12">
        <v>17</v>
      </c>
      <c r="X13" s="12">
        <v>0.78949999999999998</v>
      </c>
      <c r="Y13" s="12">
        <v>0.15790000000000001</v>
      </c>
      <c r="Z13" s="12">
        <v>0.81579999999999997</v>
      </c>
      <c r="AA13" s="12">
        <v>0</v>
      </c>
      <c r="AB13" s="12">
        <v>0</v>
      </c>
      <c r="AC13" s="12">
        <v>3</v>
      </c>
      <c r="AD13" s="12">
        <v>3</v>
      </c>
      <c r="AE13" s="12">
        <v>0.2</v>
      </c>
      <c r="AF13" s="12">
        <v>0</v>
      </c>
      <c r="AG13" s="12">
        <v>60</v>
      </c>
    </row>
    <row r="14" spans="1:33" ht="15.75" customHeight="1" x14ac:dyDescent="0.2">
      <c r="A14" s="12" t="s">
        <v>49</v>
      </c>
      <c r="B14" s="12" t="s">
        <v>30</v>
      </c>
      <c r="C14" s="12" t="s">
        <v>47</v>
      </c>
      <c r="D14" s="12" t="s">
        <v>32</v>
      </c>
      <c r="E14" s="12">
        <v>268</v>
      </c>
      <c r="F14" s="12">
        <v>33</v>
      </c>
      <c r="G14" s="12">
        <v>27</v>
      </c>
      <c r="H14" s="12">
        <v>5</v>
      </c>
      <c r="I14" s="12">
        <v>27</v>
      </c>
      <c r="J14" s="12">
        <v>1</v>
      </c>
      <c r="K14" s="12">
        <v>0</v>
      </c>
      <c r="L14" s="12">
        <v>1</v>
      </c>
      <c r="M14" s="12">
        <v>6</v>
      </c>
      <c r="N14" s="12">
        <v>4</v>
      </c>
      <c r="O14" s="12">
        <v>6</v>
      </c>
      <c r="P14" s="12">
        <v>0</v>
      </c>
      <c r="Q14" s="12">
        <v>6</v>
      </c>
      <c r="R14" s="12">
        <v>5.25</v>
      </c>
      <c r="S14" s="12">
        <v>0.26600000000000001</v>
      </c>
      <c r="T14" s="12">
        <v>20</v>
      </c>
      <c r="U14" s="12">
        <v>5</v>
      </c>
      <c r="V14" s="12">
        <v>315</v>
      </c>
      <c r="W14" s="12">
        <v>16</v>
      </c>
      <c r="X14" s="12">
        <v>0.81820000000000004</v>
      </c>
      <c r="Y14" s="12">
        <v>0.1515</v>
      </c>
      <c r="Z14" s="12">
        <v>0.81820000000000004</v>
      </c>
      <c r="AA14" s="12">
        <v>1</v>
      </c>
      <c r="AB14" s="12">
        <v>0</v>
      </c>
      <c r="AC14" s="12">
        <v>6</v>
      </c>
      <c r="AD14" s="12">
        <v>4</v>
      </c>
      <c r="AE14" s="12">
        <v>0</v>
      </c>
      <c r="AF14" s="12">
        <v>0.25</v>
      </c>
      <c r="AG14" s="12">
        <v>60</v>
      </c>
    </row>
    <row r="15" spans="1:33" ht="15.75" customHeight="1" x14ac:dyDescent="0.2">
      <c r="A15" s="12" t="s">
        <v>50</v>
      </c>
      <c r="B15" s="12" t="s">
        <v>30</v>
      </c>
      <c r="C15" s="12" t="s">
        <v>47</v>
      </c>
      <c r="D15" s="12" t="s">
        <v>32</v>
      </c>
      <c r="E15" s="12">
        <v>330</v>
      </c>
      <c r="F15" s="12">
        <v>33</v>
      </c>
      <c r="G15" s="12">
        <v>21</v>
      </c>
      <c r="H15" s="12">
        <v>9</v>
      </c>
      <c r="I15" s="12">
        <v>21</v>
      </c>
      <c r="J15" s="12">
        <v>0</v>
      </c>
      <c r="K15" s="12">
        <v>0</v>
      </c>
      <c r="L15" s="12">
        <v>0</v>
      </c>
      <c r="M15" s="12">
        <v>3</v>
      </c>
      <c r="N15" s="12">
        <v>4</v>
      </c>
      <c r="O15" s="12">
        <v>5</v>
      </c>
      <c r="P15" s="12">
        <v>0</v>
      </c>
      <c r="Q15" s="12">
        <v>5</v>
      </c>
      <c r="R15" s="12">
        <v>6.7</v>
      </c>
      <c r="S15" s="12">
        <v>0.34200000000000003</v>
      </c>
      <c r="T15" s="12">
        <v>20</v>
      </c>
      <c r="U15" s="12">
        <v>0</v>
      </c>
      <c r="V15" s="12">
        <v>402</v>
      </c>
      <c r="W15" s="12">
        <v>20</v>
      </c>
      <c r="X15" s="12">
        <v>0.63639999999999997</v>
      </c>
      <c r="Y15" s="12">
        <v>0.2727</v>
      </c>
      <c r="Z15" s="12">
        <v>0.63639999999999997</v>
      </c>
      <c r="AA15" s="12">
        <v>0</v>
      </c>
      <c r="AB15" s="12">
        <v>0</v>
      </c>
      <c r="AC15" s="12">
        <v>3</v>
      </c>
      <c r="AD15" s="12">
        <v>4</v>
      </c>
      <c r="AE15" s="12">
        <v>0</v>
      </c>
      <c r="AF15" s="12">
        <v>0</v>
      </c>
      <c r="AG15" s="12">
        <v>45</v>
      </c>
    </row>
    <row r="16" spans="1:33" ht="15.75" customHeight="1" x14ac:dyDescent="0.2">
      <c r="A16" s="12" t="s">
        <v>51</v>
      </c>
      <c r="B16" s="12" t="s">
        <v>30</v>
      </c>
      <c r="C16" s="12" t="s">
        <v>41</v>
      </c>
      <c r="D16" s="12" t="s">
        <v>39</v>
      </c>
      <c r="E16" s="12">
        <v>384</v>
      </c>
      <c r="F16" s="12">
        <v>59</v>
      </c>
      <c r="G16" s="12">
        <v>46</v>
      </c>
      <c r="H16" s="12">
        <v>11</v>
      </c>
      <c r="I16" s="12">
        <v>46</v>
      </c>
      <c r="J16" s="12">
        <v>0</v>
      </c>
      <c r="K16" s="12">
        <v>0</v>
      </c>
      <c r="L16" s="12">
        <v>0</v>
      </c>
      <c r="M16" s="12">
        <v>2</v>
      </c>
      <c r="N16" s="12">
        <v>4</v>
      </c>
      <c r="O16" s="12">
        <v>5</v>
      </c>
      <c r="P16" s="12">
        <v>0</v>
      </c>
      <c r="Q16" s="12">
        <v>5</v>
      </c>
      <c r="R16" s="12">
        <v>8.77</v>
      </c>
      <c r="S16" s="12">
        <v>0.78700000000000003</v>
      </c>
      <c r="T16" s="12">
        <v>23</v>
      </c>
      <c r="U16" s="12">
        <v>0</v>
      </c>
      <c r="V16" s="12">
        <v>526</v>
      </c>
      <c r="W16" s="12">
        <v>47</v>
      </c>
      <c r="X16" s="12">
        <v>0.77969999999999995</v>
      </c>
      <c r="Y16" s="12">
        <v>0.18640000000000001</v>
      </c>
      <c r="Z16" s="12">
        <v>0.77969999999999995</v>
      </c>
      <c r="AA16" s="12">
        <v>0</v>
      </c>
      <c r="AB16" s="12">
        <v>0</v>
      </c>
      <c r="AC16" s="12">
        <v>2</v>
      </c>
      <c r="AD16" s="12">
        <v>4</v>
      </c>
      <c r="AE16" s="12">
        <v>0</v>
      </c>
      <c r="AF16" s="12">
        <v>0</v>
      </c>
      <c r="AG16" s="12">
        <v>47</v>
      </c>
    </row>
    <row r="17" spans="1:33" ht="15.75" customHeight="1" x14ac:dyDescent="0.2">
      <c r="A17" s="12" t="s">
        <v>52</v>
      </c>
      <c r="B17" s="12" t="s">
        <v>30</v>
      </c>
      <c r="C17" s="12" t="s">
        <v>41</v>
      </c>
      <c r="D17" s="12" t="s">
        <v>39</v>
      </c>
      <c r="E17" s="12">
        <v>457</v>
      </c>
      <c r="F17" s="12">
        <v>70</v>
      </c>
      <c r="G17" s="12">
        <v>41</v>
      </c>
      <c r="H17" s="12">
        <v>25</v>
      </c>
      <c r="I17" s="12">
        <v>39</v>
      </c>
      <c r="J17" s="12">
        <v>0</v>
      </c>
      <c r="K17" s="12">
        <v>0</v>
      </c>
      <c r="L17" s="12">
        <v>0</v>
      </c>
      <c r="M17" s="12">
        <v>4</v>
      </c>
      <c r="N17" s="12">
        <v>4</v>
      </c>
      <c r="O17" s="12">
        <v>6</v>
      </c>
      <c r="P17" s="12">
        <v>1</v>
      </c>
      <c r="Q17" s="12">
        <v>5</v>
      </c>
      <c r="R17" s="12">
        <v>9.0399999999999991</v>
      </c>
      <c r="S17" s="12">
        <v>0.53</v>
      </c>
      <c r="T17" s="12">
        <v>20</v>
      </c>
      <c r="U17" s="12">
        <v>0</v>
      </c>
      <c r="V17" s="12">
        <v>542</v>
      </c>
      <c r="W17" s="12">
        <v>32</v>
      </c>
      <c r="X17" s="12">
        <v>0.5857</v>
      </c>
      <c r="Y17" s="12">
        <v>0.35709999999999997</v>
      </c>
      <c r="Z17" s="12">
        <v>0.55710000000000004</v>
      </c>
      <c r="AA17" s="12">
        <v>0</v>
      </c>
      <c r="AB17" s="12">
        <v>0</v>
      </c>
      <c r="AC17" s="12">
        <v>4</v>
      </c>
      <c r="AD17" s="12">
        <v>4</v>
      </c>
      <c r="AE17" s="12">
        <v>0.16669999999999999</v>
      </c>
      <c r="AF17" s="12">
        <v>0</v>
      </c>
      <c r="AG17" s="12">
        <v>15</v>
      </c>
    </row>
    <row r="18" spans="1:33" ht="15.75" customHeight="1" x14ac:dyDescent="0.2">
      <c r="A18" s="12" t="s">
        <v>53</v>
      </c>
      <c r="B18" s="12" t="s">
        <v>30</v>
      </c>
      <c r="C18" s="12" t="s">
        <v>41</v>
      </c>
      <c r="D18" s="12" t="s">
        <v>39</v>
      </c>
      <c r="E18" s="12">
        <v>475</v>
      </c>
      <c r="F18" s="12">
        <v>68</v>
      </c>
      <c r="G18" s="12">
        <v>46</v>
      </c>
      <c r="H18" s="12">
        <v>14</v>
      </c>
      <c r="I18" s="12">
        <v>47</v>
      </c>
      <c r="J18" s="12">
        <v>0</v>
      </c>
      <c r="K18" s="12">
        <v>0</v>
      </c>
      <c r="L18" s="12">
        <v>0</v>
      </c>
      <c r="M18" s="12">
        <v>5</v>
      </c>
      <c r="N18" s="12">
        <v>3</v>
      </c>
      <c r="O18" s="12">
        <v>7</v>
      </c>
      <c r="P18" s="12">
        <v>2</v>
      </c>
      <c r="Q18" s="12">
        <v>5</v>
      </c>
      <c r="R18" s="12">
        <v>7.45</v>
      </c>
      <c r="S18" s="12">
        <v>0.46899999999999997</v>
      </c>
      <c r="T18" s="12">
        <v>22</v>
      </c>
      <c r="U18" s="12">
        <v>1</v>
      </c>
      <c r="V18" s="12">
        <v>447</v>
      </c>
      <c r="W18" s="12">
        <v>28</v>
      </c>
      <c r="X18" s="12">
        <v>0.67649999999999999</v>
      </c>
      <c r="Y18" s="12">
        <v>0.2059</v>
      </c>
      <c r="Z18" s="12">
        <v>0.69120000000000004</v>
      </c>
      <c r="AA18" s="12">
        <v>0</v>
      </c>
      <c r="AB18" s="12">
        <v>0</v>
      </c>
      <c r="AC18" s="12">
        <v>5</v>
      </c>
      <c r="AD18" s="12">
        <v>3</v>
      </c>
      <c r="AE18" s="12">
        <v>0.28570000000000001</v>
      </c>
      <c r="AF18" s="12">
        <v>4.5499999999999999E-2</v>
      </c>
      <c r="AG18" s="12">
        <v>50</v>
      </c>
    </row>
    <row r="19" spans="1:33" ht="15.75" customHeight="1" x14ac:dyDescent="0.2">
      <c r="A19" s="12" t="s">
        <v>54</v>
      </c>
      <c r="B19" s="12" t="s">
        <v>30</v>
      </c>
      <c r="C19" s="12" t="s">
        <v>41</v>
      </c>
      <c r="D19" s="12" t="s">
        <v>39</v>
      </c>
      <c r="E19" s="12">
        <v>325</v>
      </c>
      <c r="F19" s="12">
        <v>53</v>
      </c>
      <c r="G19" s="12">
        <v>39</v>
      </c>
      <c r="H19" s="12">
        <v>12</v>
      </c>
      <c r="I19" s="12">
        <v>37</v>
      </c>
      <c r="J19" s="12">
        <v>0</v>
      </c>
      <c r="K19" s="12">
        <v>0</v>
      </c>
      <c r="L19" s="12">
        <v>0</v>
      </c>
      <c r="M19" s="12">
        <v>6</v>
      </c>
      <c r="N19" s="12">
        <v>5</v>
      </c>
      <c r="O19" s="12">
        <v>7</v>
      </c>
      <c r="P19" s="12">
        <v>0</v>
      </c>
      <c r="Q19" s="12">
        <v>7</v>
      </c>
      <c r="R19" s="12">
        <v>9.17</v>
      </c>
      <c r="S19" s="12">
        <v>0.498</v>
      </c>
      <c r="T19" s="12">
        <v>22</v>
      </c>
      <c r="U19" s="12">
        <v>6</v>
      </c>
      <c r="V19" s="12">
        <v>550</v>
      </c>
      <c r="W19" s="12">
        <v>30</v>
      </c>
      <c r="X19" s="12">
        <v>0.73580000000000001</v>
      </c>
      <c r="Y19" s="12">
        <v>0.22639999999999999</v>
      </c>
      <c r="Z19" s="12">
        <v>0.69810000000000005</v>
      </c>
      <c r="AA19" s="12">
        <v>0</v>
      </c>
      <c r="AB19" s="12">
        <v>0</v>
      </c>
      <c r="AC19" s="12">
        <v>6</v>
      </c>
      <c r="AD19" s="12">
        <v>5</v>
      </c>
      <c r="AE19" s="12">
        <v>0</v>
      </c>
      <c r="AF19" s="12">
        <v>0.2727</v>
      </c>
      <c r="AG19" s="12">
        <v>55</v>
      </c>
    </row>
    <row r="20" spans="1:33" ht="15.75" customHeight="1" x14ac:dyDescent="0.2">
      <c r="A20" s="12" t="s">
        <v>55</v>
      </c>
      <c r="B20" s="12" t="s">
        <v>30</v>
      </c>
      <c r="C20" s="12" t="s">
        <v>41</v>
      </c>
      <c r="D20" s="12" t="s">
        <v>39</v>
      </c>
      <c r="E20" s="12">
        <v>408</v>
      </c>
      <c r="F20" s="12">
        <v>41</v>
      </c>
      <c r="G20" s="12">
        <v>27</v>
      </c>
      <c r="H20" s="12">
        <v>13</v>
      </c>
      <c r="I20" s="12">
        <v>26</v>
      </c>
      <c r="J20" s="12">
        <v>0</v>
      </c>
      <c r="K20" s="12">
        <v>0</v>
      </c>
      <c r="L20" s="12">
        <v>0</v>
      </c>
      <c r="M20" s="12">
        <v>3</v>
      </c>
      <c r="N20" s="12">
        <v>3</v>
      </c>
      <c r="O20" s="12">
        <v>7</v>
      </c>
      <c r="P20" s="12">
        <v>3</v>
      </c>
      <c r="Q20" s="12">
        <v>4</v>
      </c>
      <c r="R20" s="12">
        <v>7.94</v>
      </c>
      <c r="S20" s="12">
        <v>0.45300000000000001</v>
      </c>
      <c r="T20" s="12">
        <v>21</v>
      </c>
      <c r="U20" s="12">
        <v>0</v>
      </c>
      <c r="V20" s="12">
        <v>477</v>
      </c>
      <c r="W20" s="12">
        <v>27</v>
      </c>
      <c r="X20" s="12">
        <v>0.65849999999999997</v>
      </c>
      <c r="Y20" s="12">
        <v>0.31709999999999999</v>
      </c>
      <c r="Z20" s="12">
        <v>0.6341</v>
      </c>
      <c r="AA20" s="12">
        <v>0</v>
      </c>
      <c r="AB20" s="12">
        <v>0</v>
      </c>
      <c r="AC20" s="12">
        <v>3</v>
      </c>
      <c r="AD20" s="12">
        <v>3</v>
      </c>
      <c r="AE20" s="12">
        <v>0.42859999999999998</v>
      </c>
      <c r="AF20" s="12">
        <v>0</v>
      </c>
      <c r="AG20" s="12">
        <v>50</v>
      </c>
    </row>
    <row r="21" spans="1:33" ht="15.75" customHeight="1" x14ac:dyDescent="0.2">
      <c r="A21" s="12" t="s">
        <v>56</v>
      </c>
      <c r="B21" s="12" t="s">
        <v>30</v>
      </c>
      <c r="C21" s="12" t="s">
        <v>47</v>
      </c>
      <c r="D21" s="12" t="s">
        <v>32</v>
      </c>
      <c r="E21" s="12">
        <v>272</v>
      </c>
      <c r="F21" s="12">
        <v>23</v>
      </c>
      <c r="G21" s="12">
        <v>15</v>
      </c>
      <c r="H21" s="12">
        <v>7</v>
      </c>
      <c r="I21" s="12">
        <v>14</v>
      </c>
      <c r="J21" s="12">
        <v>0</v>
      </c>
      <c r="K21" s="12">
        <v>0</v>
      </c>
      <c r="L21" s="12">
        <v>0</v>
      </c>
      <c r="M21" s="12">
        <v>3</v>
      </c>
      <c r="N21" s="12">
        <v>1</v>
      </c>
      <c r="O21" s="12">
        <v>5</v>
      </c>
      <c r="P21" s="12">
        <v>2</v>
      </c>
      <c r="Q21" s="12">
        <v>3</v>
      </c>
      <c r="R21" s="12">
        <v>12.42</v>
      </c>
      <c r="S21" s="12">
        <v>0.69099999999999995</v>
      </c>
      <c r="T21" s="12">
        <v>14</v>
      </c>
      <c r="U21" s="12">
        <v>0</v>
      </c>
      <c r="V21" s="12">
        <v>745</v>
      </c>
      <c r="W21" s="12">
        <v>41</v>
      </c>
      <c r="X21" s="12">
        <v>0.6522</v>
      </c>
      <c r="Y21" s="12">
        <v>0.30430000000000001</v>
      </c>
      <c r="Z21" s="12">
        <v>0.60870000000000002</v>
      </c>
      <c r="AA21" s="12">
        <v>0</v>
      </c>
      <c r="AB21" s="12">
        <v>0</v>
      </c>
      <c r="AC21" s="12">
        <v>3</v>
      </c>
      <c r="AD21" s="12">
        <v>1</v>
      </c>
      <c r="AE21" s="12">
        <v>0.4</v>
      </c>
      <c r="AF21" s="12">
        <v>0</v>
      </c>
      <c r="AG21" s="12">
        <v>40</v>
      </c>
    </row>
    <row r="22" spans="1:33" ht="15.75" customHeight="1" x14ac:dyDescent="0.2">
      <c r="A22" s="12" t="s">
        <v>57</v>
      </c>
      <c r="B22" s="12" t="s">
        <v>30</v>
      </c>
      <c r="C22" s="12" t="s">
        <v>47</v>
      </c>
      <c r="D22" s="12" t="s">
        <v>32</v>
      </c>
      <c r="E22" s="12">
        <v>326</v>
      </c>
      <c r="F22" s="12">
        <v>53</v>
      </c>
      <c r="G22" s="12">
        <v>38</v>
      </c>
      <c r="H22" s="12">
        <v>14</v>
      </c>
      <c r="I22" s="12">
        <v>38</v>
      </c>
      <c r="J22" s="12">
        <v>0</v>
      </c>
      <c r="K22" s="12">
        <v>0</v>
      </c>
      <c r="L22" s="12">
        <v>0</v>
      </c>
      <c r="M22" s="12">
        <v>3</v>
      </c>
      <c r="N22" s="12">
        <v>1</v>
      </c>
      <c r="O22" s="12">
        <v>4</v>
      </c>
      <c r="P22" s="12">
        <v>0</v>
      </c>
      <c r="Q22" s="12">
        <v>4</v>
      </c>
      <c r="R22" s="12">
        <v>7.1</v>
      </c>
      <c r="S22" s="12">
        <v>0.33500000000000002</v>
      </c>
      <c r="T22" s="12">
        <v>20</v>
      </c>
      <c r="U22" s="12">
        <v>3</v>
      </c>
      <c r="V22" s="12">
        <v>426</v>
      </c>
      <c r="W22" s="12">
        <v>20</v>
      </c>
      <c r="X22" s="12">
        <v>0.71699999999999997</v>
      </c>
      <c r="Y22" s="12">
        <v>0.26419999999999999</v>
      </c>
      <c r="Z22" s="12">
        <v>0.71699999999999997</v>
      </c>
      <c r="AA22" s="12">
        <v>0</v>
      </c>
      <c r="AB22" s="12">
        <v>0</v>
      </c>
      <c r="AC22" s="12">
        <v>3</v>
      </c>
      <c r="AD22" s="12">
        <v>1</v>
      </c>
      <c r="AE22" s="12">
        <v>0</v>
      </c>
      <c r="AF22" s="12">
        <v>0.15</v>
      </c>
      <c r="AG22" s="12">
        <v>62</v>
      </c>
    </row>
    <row r="23" spans="1:33" ht="15.75" customHeight="1" x14ac:dyDescent="0.2">
      <c r="A23" s="12" t="s">
        <v>58</v>
      </c>
      <c r="B23" s="12" t="s">
        <v>30</v>
      </c>
      <c r="C23" s="12" t="s">
        <v>47</v>
      </c>
      <c r="D23" s="12" t="s">
        <v>32</v>
      </c>
      <c r="E23" s="12">
        <v>298</v>
      </c>
      <c r="F23" s="12">
        <v>30</v>
      </c>
      <c r="G23" s="12">
        <v>17</v>
      </c>
      <c r="H23" s="12">
        <v>10</v>
      </c>
      <c r="I23" s="12">
        <v>17</v>
      </c>
      <c r="J23" s="12">
        <v>0</v>
      </c>
      <c r="K23" s="12">
        <v>0</v>
      </c>
      <c r="L23" s="12">
        <v>0</v>
      </c>
      <c r="M23" s="12">
        <v>3</v>
      </c>
      <c r="N23" s="12">
        <v>2</v>
      </c>
      <c r="O23" s="12">
        <v>5</v>
      </c>
      <c r="P23" s="12">
        <v>1</v>
      </c>
      <c r="Q23" s="12">
        <v>4</v>
      </c>
      <c r="R23" s="12">
        <v>10.15</v>
      </c>
      <c r="S23" s="12">
        <v>0.47799999999999998</v>
      </c>
      <c r="T23" s="12">
        <v>19</v>
      </c>
      <c r="U23" s="12">
        <v>0</v>
      </c>
      <c r="V23" s="12">
        <v>609</v>
      </c>
      <c r="W23" s="12">
        <v>29</v>
      </c>
      <c r="X23" s="12">
        <v>0.56669999999999998</v>
      </c>
      <c r="Y23" s="12">
        <v>0.33329999999999999</v>
      </c>
      <c r="Z23" s="12">
        <v>0.56669999999999998</v>
      </c>
      <c r="AA23" s="12">
        <v>0</v>
      </c>
      <c r="AB23" s="12">
        <v>0</v>
      </c>
      <c r="AC23" s="12">
        <v>3</v>
      </c>
      <c r="AD23" s="12">
        <v>2</v>
      </c>
      <c r="AE23" s="12">
        <v>0.2</v>
      </c>
      <c r="AF23" s="12">
        <v>0</v>
      </c>
      <c r="AG23" s="12">
        <v>25</v>
      </c>
    </row>
    <row r="24" spans="1:33" ht="15.75" customHeight="1" x14ac:dyDescent="0.2">
      <c r="A24" s="12" t="s">
        <v>59</v>
      </c>
      <c r="B24" s="12" t="s">
        <v>30</v>
      </c>
      <c r="C24" s="12" t="s">
        <v>47</v>
      </c>
      <c r="D24" s="12" t="s">
        <v>32</v>
      </c>
      <c r="E24" s="12">
        <v>300</v>
      </c>
      <c r="F24" s="12">
        <v>67</v>
      </c>
      <c r="G24" s="12">
        <v>52</v>
      </c>
      <c r="H24" s="12">
        <v>12</v>
      </c>
      <c r="I24" s="12">
        <v>55</v>
      </c>
      <c r="J24" s="12">
        <v>0</v>
      </c>
      <c r="K24" s="12">
        <v>0</v>
      </c>
      <c r="L24" s="12">
        <v>0</v>
      </c>
      <c r="M24" s="12">
        <v>4</v>
      </c>
      <c r="N24" s="12">
        <v>5</v>
      </c>
      <c r="O24" s="12">
        <v>6</v>
      </c>
      <c r="P24" s="12">
        <v>1</v>
      </c>
      <c r="Q24" s="12">
        <v>5</v>
      </c>
      <c r="R24" s="12">
        <v>7.64</v>
      </c>
      <c r="S24" s="12">
        <v>0.26100000000000001</v>
      </c>
      <c r="T24" s="12">
        <v>20</v>
      </c>
      <c r="U24" s="12">
        <v>2</v>
      </c>
      <c r="V24" s="12">
        <v>458</v>
      </c>
      <c r="W24" s="12">
        <v>16</v>
      </c>
      <c r="X24" s="12">
        <v>0.77610000000000001</v>
      </c>
      <c r="Y24" s="12">
        <v>0.17910000000000001</v>
      </c>
      <c r="Z24" s="12">
        <v>0.82089999999999996</v>
      </c>
      <c r="AA24" s="12">
        <v>0</v>
      </c>
      <c r="AB24" s="12">
        <v>0</v>
      </c>
      <c r="AC24" s="12">
        <v>4</v>
      </c>
      <c r="AD24" s="12">
        <v>5</v>
      </c>
      <c r="AE24" s="12">
        <v>0.16669999999999999</v>
      </c>
      <c r="AF24" s="12">
        <v>0.1</v>
      </c>
      <c r="AG24" s="12">
        <v>60</v>
      </c>
    </row>
    <row r="25" spans="1:33" ht="15.75" customHeight="1" x14ac:dyDescent="0.2">
      <c r="A25" s="12" t="s">
        <v>60</v>
      </c>
      <c r="B25" s="12" t="s">
        <v>30</v>
      </c>
      <c r="C25" s="12" t="s">
        <v>61</v>
      </c>
      <c r="D25" s="12" t="s">
        <v>32</v>
      </c>
      <c r="E25" s="12">
        <v>342</v>
      </c>
      <c r="F25" s="12">
        <v>61</v>
      </c>
      <c r="G25" s="12">
        <v>27</v>
      </c>
      <c r="H25" s="12">
        <v>30</v>
      </c>
      <c r="I25" s="12">
        <v>28</v>
      </c>
      <c r="J25" s="12">
        <v>0</v>
      </c>
      <c r="K25" s="12">
        <v>0</v>
      </c>
      <c r="L25" s="12">
        <v>0</v>
      </c>
      <c r="M25" s="12">
        <v>2</v>
      </c>
      <c r="N25" s="12">
        <v>0</v>
      </c>
      <c r="O25" s="12">
        <v>2</v>
      </c>
      <c r="P25" s="12">
        <v>0</v>
      </c>
      <c r="Q25" s="12">
        <v>2</v>
      </c>
      <c r="R25" s="12">
        <v>12.41</v>
      </c>
      <c r="S25" s="12">
        <v>0.79800000000000004</v>
      </c>
      <c r="T25" s="12">
        <v>21</v>
      </c>
      <c r="U25" s="12">
        <v>2</v>
      </c>
      <c r="V25" s="12">
        <v>745</v>
      </c>
      <c r="W25" s="12">
        <v>48</v>
      </c>
      <c r="X25" s="12">
        <v>0.44259999999999999</v>
      </c>
      <c r="Y25" s="12">
        <v>0.49180000000000001</v>
      </c>
      <c r="Z25" s="12">
        <v>0.45900000000000002</v>
      </c>
      <c r="AA25" s="12">
        <v>0</v>
      </c>
      <c r="AB25" s="12">
        <v>0</v>
      </c>
      <c r="AC25" s="12">
        <v>2</v>
      </c>
      <c r="AD25" s="12">
        <v>0</v>
      </c>
      <c r="AE25" s="12">
        <v>0</v>
      </c>
      <c r="AF25" s="12">
        <v>9.5200000000000007E-2</v>
      </c>
      <c r="AG25" s="12">
        <v>25</v>
      </c>
    </row>
    <row r="26" spans="1:33" ht="15.75" customHeight="1" x14ac:dyDescent="0.2">
      <c r="A26" s="12" t="s">
        <v>62</v>
      </c>
      <c r="B26" s="12" t="s">
        <v>30</v>
      </c>
      <c r="C26" s="12" t="s">
        <v>61</v>
      </c>
      <c r="D26" s="12" t="s">
        <v>32</v>
      </c>
      <c r="E26" s="12">
        <v>294</v>
      </c>
      <c r="F26" s="12">
        <v>37</v>
      </c>
      <c r="G26" s="12">
        <v>33</v>
      </c>
      <c r="H26" s="12">
        <v>4</v>
      </c>
      <c r="I26" s="12">
        <v>31</v>
      </c>
      <c r="J26" s="12">
        <v>0</v>
      </c>
      <c r="K26" s="12">
        <v>0</v>
      </c>
      <c r="L26" s="12">
        <v>0</v>
      </c>
      <c r="M26" s="12">
        <v>5</v>
      </c>
      <c r="N26" s="12">
        <v>3</v>
      </c>
      <c r="O26" s="12">
        <v>6</v>
      </c>
      <c r="P26" s="12">
        <v>0</v>
      </c>
      <c r="Q26" s="12">
        <v>6</v>
      </c>
      <c r="R26" s="12">
        <v>7.53</v>
      </c>
      <c r="S26" s="12">
        <v>0.317</v>
      </c>
      <c r="T26" s="12">
        <v>21</v>
      </c>
      <c r="U26" s="12">
        <v>1</v>
      </c>
      <c r="V26" s="12">
        <v>452</v>
      </c>
      <c r="W26" s="12">
        <v>19</v>
      </c>
      <c r="X26" s="12">
        <v>0.89190000000000003</v>
      </c>
      <c r="Y26" s="12">
        <v>0.1081</v>
      </c>
      <c r="Z26" s="12">
        <v>0.83779999999999999</v>
      </c>
      <c r="AA26" s="12">
        <v>0</v>
      </c>
      <c r="AB26" s="12">
        <v>0</v>
      </c>
      <c r="AC26" s="12">
        <v>5</v>
      </c>
      <c r="AD26" s="12">
        <v>3</v>
      </c>
      <c r="AE26" s="12">
        <v>0</v>
      </c>
      <c r="AF26" s="12">
        <v>4.7600000000000003E-2</v>
      </c>
      <c r="AG26" s="12">
        <v>60</v>
      </c>
    </row>
    <row r="27" spans="1:33" ht="15.75" customHeight="1" x14ac:dyDescent="0.2">
      <c r="A27" s="12" t="s">
        <v>63</v>
      </c>
      <c r="B27" s="12" t="s">
        <v>30</v>
      </c>
      <c r="C27" s="12" t="s">
        <v>61</v>
      </c>
      <c r="D27" s="12" t="s">
        <v>32</v>
      </c>
      <c r="E27" s="12">
        <v>339</v>
      </c>
      <c r="F27" s="12">
        <v>45</v>
      </c>
      <c r="G27" s="12">
        <v>33</v>
      </c>
      <c r="H27" s="12">
        <v>10</v>
      </c>
      <c r="I27" s="12">
        <v>33</v>
      </c>
      <c r="J27" s="12">
        <v>0</v>
      </c>
      <c r="K27" s="12">
        <v>0</v>
      </c>
      <c r="L27" s="12">
        <v>0</v>
      </c>
      <c r="M27" s="12">
        <v>4</v>
      </c>
      <c r="N27" s="12">
        <v>2</v>
      </c>
      <c r="O27" s="12">
        <v>6</v>
      </c>
      <c r="P27" s="12">
        <v>2</v>
      </c>
      <c r="Q27" s="12">
        <v>4</v>
      </c>
      <c r="R27" s="12">
        <v>6.44</v>
      </c>
      <c r="S27" s="12">
        <v>0.216</v>
      </c>
      <c r="T27" s="12">
        <v>21</v>
      </c>
      <c r="U27" s="12">
        <v>3</v>
      </c>
      <c r="V27" s="12">
        <v>386</v>
      </c>
      <c r="W27" s="12">
        <v>13</v>
      </c>
      <c r="X27" s="12">
        <v>0.73329999999999995</v>
      </c>
      <c r="Y27" s="12">
        <v>0.22220000000000001</v>
      </c>
      <c r="Z27" s="12">
        <v>0.73329999999999995</v>
      </c>
      <c r="AA27" s="12">
        <v>0</v>
      </c>
      <c r="AB27" s="12">
        <v>0</v>
      </c>
      <c r="AC27" s="12">
        <v>4</v>
      </c>
      <c r="AD27" s="12">
        <v>2</v>
      </c>
      <c r="AE27" s="12">
        <v>0.33329999999999999</v>
      </c>
      <c r="AF27" s="12">
        <v>0.1429</v>
      </c>
      <c r="AG27" s="12">
        <v>57</v>
      </c>
    </row>
    <row r="28" spans="1:33" ht="15.75" customHeight="1" x14ac:dyDescent="0.2">
      <c r="A28" s="12" t="s">
        <v>64</v>
      </c>
      <c r="B28" s="12" t="s">
        <v>30</v>
      </c>
      <c r="C28" s="12" t="s">
        <v>34</v>
      </c>
      <c r="D28" s="12" t="s">
        <v>32</v>
      </c>
      <c r="E28" s="12">
        <v>146</v>
      </c>
      <c r="F28" s="12">
        <v>43</v>
      </c>
      <c r="G28" s="12">
        <v>12</v>
      </c>
      <c r="H28" s="12">
        <v>27</v>
      </c>
      <c r="I28" s="12">
        <v>17</v>
      </c>
      <c r="J28" s="12">
        <v>0</v>
      </c>
      <c r="K28" s="12">
        <v>0</v>
      </c>
      <c r="L28" s="12">
        <v>0</v>
      </c>
      <c r="M28" s="12">
        <v>5</v>
      </c>
      <c r="N28" s="12">
        <v>6</v>
      </c>
      <c r="O28" s="12">
        <v>6</v>
      </c>
      <c r="P28" s="12">
        <v>0</v>
      </c>
      <c r="Q28" s="12">
        <v>6</v>
      </c>
      <c r="R28" s="12">
        <v>3.57</v>
      </c>
      <c r="S28" s="12">
        <v>0.23400000000000001</v>
      </c>
      <c r="T28" s="12">
        <v>19</v>
      </c>
      <c r="U28" s="12">
        <v>6</v>
      </c>
      <c r="V28" s="12">
        <v>214</v>
      </c>
      <c r="W28" s="12">
        <v>14</v>
      </c>
      <c r="X28" s="12">
        <v>0.27910000000000001</v>
      </c>
      <c r="Y28" s="12">
        <v>0.62790000000000001</v>
      </c>
      <c r="Z28" s="12">
        <v>0.39529999999999998</v>
      </c>
      <c r="AA28" s="12">
        <v>0</v>
      </c>
      <c r="AB28" s="12">
        <v>0</v>
      </c>
      <c r="AC28" s="12">
        <v>5</v>
      </c>
      <c r="AD28" s="12">
        <v>6</v>
      </c>
      <c r="AE28" s="12">
        <v>0</v>
      </c>
      <c r="AF28" s="12">
        <v>0.31580000000000003</v>
      </c>
      <c r="AG28" s="12">
        <v>25</v>
      </c>
    </row>
    <row r="29" spans="1:33" ht="15" x14ac:dyDescent="0.2">
      <c r="A29" s="12" t="s">
        <v>65</v>
      </c>
      <c r="B29" s="12" t="s">
        <v>30</v>
      </c>
      <c r="C29" s="12" t="s">
        <v>31</v>
      </c>
      <c r="D29" s="12" t="s">
        <v>32</v>
      </c>
      <c r="E29" s="12">
        <v>421</v>
      </c>
      <c r="F29" s="12">
        <v>50</v>
      </c>
      <c r="G29" s="12">
        <v>37</v>
      </c>
      <c r="H29" s="12">
        <v>10</v>
      </c>
      <c r="I29" s="12">
        <v>38</v>
      </c>
      <c r="J29" s="12">
        <v>0</v>
      </c>
      <c r="K29" s="12">
        <v>0</v>
      </c>
      <c r="L29" s="12">
        <v>0</v>
      </c>
      <c r="M29" s="12">
        <v>2</v>
      </c>
      <c r="N29" s="12">
        <v>3</v>
      </c>
      <c r="O29" s="12">
        <v>4</v>
      </c>
      <c r="P29" s="12">
        <v>1</v>
      </c>
      <c r="Q29" s="12">
        <v>3</v>
      </c>
      <c r="R29" s="12">
        <v>6.56</v>
      </c>
      <c r="S29" s="12">
        <v>0.217</v>
      </c>
      <c r="T29" s="12">
        <v>20</v>
      </c>
      <c r="U29" s="12">
        <v>0</v>
      </c>
      <c r="V29" s="12">
        <v>394</v>
      </c>
      <c r="W29" s="12">
        <v>13</v>
      </c>
      <c r="X29" s="12">
        <v>0.74</v>
      </c>
      <c r="Y29" s="12">
        <v>0.2</v>
      </c>
      <c r="Z29" s="12">
        <v>0.76</v>
      </c>
      <c r="AA29" s="12">
        <v>0</v>
      </c>
      <c r="AB29" s="12">
        <v>0</v>
      </c>
      <c r="AC29" s="12">
        <v>2</v>
      </c>
      <c r="AD29" s="12">
        <v>3</v>
      </c>
      <c r="AE29" s="12">
        <v>0.25</v>
      </c>
      <c r="AF29" s="12">
        <v>0</v>
      </c>
      <c r="AG29" s="12">
        <v>57</v>
      </c>
    </row>
    <row r="30" spans="1:33" ht="15" x14ac:dyDescent="0.2">
      <c r="A30" s="12" t="s">
        <v>66</v>
      </c>
      <c r="B30" s="12" t="s">
        <v>30</v>
      </c>
      <c r="C30" s="12" t="s">
        <v>34</v>
      </c>
      <c r="D30" s="12" t="s">
        <v>32</v>
      </c>
      <c r="E30" s="12">
        <v>296</v>
      </c>
      <c r="F30" s="12">
        <v>41</v>
      </c>
      <c r="G30" s="12">
        <v>27</v>
      </c>
      <c r="H30" s="12">
        <v>10</v>
      </c>
      <c r="I30" s="12">
        <v>26</v>
      </c>
      <c r="J30" s="12">
        <v>0</v>
      </c>
      <c r="K30" s="12">
        <v>0</v>
      </c>
      <c r="L30" s="12">
        <v>0</v>
      </c>
      <c r="M30" s="12">
        <v>4</v>
      </c>
      <c r="N30" s="12">
        <v>4</v>
      </c>
      <c r="O30" s="12">
        <v>7</v>
      </c>
      <c r="P30" s="12">
        <v>3</v>
      </c>
      <c r="Q30" s="12">
        <v>4</v>
      </c>
      <c r="R30" s="12">
        <v>8.33</v>
      </c>
      <c r="S30" s="12">
        <v>0.63400000000000001</v>
      </c>
      <c r="T30" s="12">
        <v>19</v>
      </c>
      <c r="U30" s="12">
        <v>1</v>
      </c>
      <c r="V30" s="12">
        <v>500</v>
      </c>
      <c r="W30" s="12">
        <v>38</v>
      </c>
      <c r="X30" s="12">
        <v>0.65849999999999997</v>
      </c>
      <c r="Y30" s="12">
        <v>0.24390000000000001</v>
      </c>
      <c r="Z30" s="12">
        <v>0.6341</v>
      </c>
      <c r="AA30" s="12">
        <v>0</v>
      </c>
      <c r="AB30" s="12">
        <v>0</v>
      </c>
      <c r="AC30" s="12">
        <v>4</v>
      </c>
      <c r="AD30" s="12">
        <v>4</v>
      </c>
      <c r="AE30" s="12">
        <v>0.42859999999999998</v>
      </c>
      <c r="AF30" s="12">
        <v>5.2600000000000001E-2</v>
      </c>
      <c r="AG30" s="12">
        <v>40</v>
      </c>
    </row>
    <row r="31" spans="1:33" ht="15" x14ac:dyDescent="0.2">
      <c r="A31" s="12" t="s">
        <v>67</v>
      </c>
      <c r="B31" s="12" t="s">
        <v>30</v>
      </c>
      <c r="C31" s="12" t="s">
        <v>41</v>
      </c>
      <c r="D31" s="12" t="s">
        <v>39</v>
      </c>
      <c r="E31" s="12">
        <v>431</v>
      </c>
      <c r="F31" s="12">
        <v>60</v>
      </c>
      <c r="G31" s="12">
        <v>36</v>
      </c>
      <c r="H31" s="12">
        <v>18</v>
      </c>
      <c r="I31" s="12">
        <v>38</v>
      </c>
      <c r="J31" s="12">
        <v>1</v>
      </c>
      <c r="K31" s="12">
        <v>0</v>
      </c>
      <c r="L31" s="12">
        <v>1</v>
      </c>
      <c r="M31" s="12">
        <v>4</v>
      </c>
      <c r="N31" s="12">
        <v>3</v>
      </c>
      <c r="O31" s="12">
        <v>8</v>
      </c>
      <c r="P31" s="12">
        <v>3</v>
      </c>
      <c r="Q31" s="12">
        <v>5</v>
      </c>
      <c r="R31" s="12">
        <v>8.0399999999999991</v>
      </c>
      <c r="S31" s="12">
        <v>0.498</v>
      </c>
      <c r="T31" s="12">
        <v>22</v>
      </c>
      <c r="U31" s="12">
        <v>0</v>
      </c>
      <c r="V31" s="12">
        <v>482</v>
      </c>
      <c r="W31" s="12">
        <v>30</v>
      </c>
      <c r="X31" s="12">
        <v>0.6</v>
      </c>
      <c r="Y31" s="12">
        <v>0.3</v>
      </c>
      <c r="Z31" s="12">
        <v>0.63329999999999997</v>
      </c>
      <c r="AA31" s="12">
        <v>1</v>
      </c>
      <c r="AB31" s="12">
        <v>0</v>
      </c>
      <c r="AC31" s="12">
        <v>4</v>
      </c>
      <c r="AD31" s="12">
        <v>3</v>
      </c>
      <c r="AE31" s="12">
        <v>0.375</v>
      </c>
      <c r="AF31" s="12">
        <v>0</v>
      </c>
      <c r="AG31" s="12">
        <v>45</v>
      </c>
    </row>
    <row r="32" spans="1:33" ht="15" x14ac:dyDescent="0.2">
      <c r="A32" s="12" t="s">
        <v>68</v>
      </c>
      <c r="B32" s="12" t="s">
        <v>30</v>
      </c>
      <c r="C32" s="12" t="s">
        <v>38</v>
      </c>
      <c r="D32" s="12" t="s">
        <v>39</v>
      </c>
      <c r="E32" s="12">
        <v>369</v>
      </c>
      <c r="F32" s="12">
        <v>39</v>
      </c>
      <c r="G32" s="12">
        <v>23</v>
      </c>
      <c r="H32" s="12">
        <v>13</v>
      </c>
      <c r="I32" s="12">
        <v>23</v>
      </c>
      <c r="J32" s="12">
        <v>0</v>
      </c>
      <c r="K32" s="12">
        <v>0</v>
      </c>
      <c r="L32" s="12">
        <v>0</v>
      </c>
      <c r="M32" s="12">
        <v>8</v>
      </c>
      <c r="N32" s="12">
        <v>3</v>
      </c>
      <c r="O32" s="12">
        <v>9</v>
      </c>
      <c r="P32" s="12">
        <v>1</v>
      </c>
      <c r="Q32" s="12">
        <v>8</v>
      </c>
      <c r="R32" s="12">
        <v>4.13</v>
      </c>
      <c r="S32" s="12">
        <v>0.127</v>
      </c>
      <c r="T32" s="12">
        <v>20</v>
      </c>
      <c r="U32" s="12">
        <v>0</v>
      </c>
      <c r="V32" s="12">
        <v>248</v>
      </c>
      <c r="W32" s="12">
        <v>8</v>
      </c>
      <c r="X32" s="12">
        <v>0.5897</v>
      </c>
      <c r="Y32" s="12">
        <v>0.33329999999999999</v>
      </c>
      <c r="Z32" s="12">
        <v>0.5897</v>
      </c>
      <c r="AA32" s="12">
        <v>0</v>
      </c>
      <c r="AB32" s="12">
        <v>0</v>
      </c>
      <c r="AC32" s="12">
        <v>8</v>
      </c>
      <c r="AD32" s="12">
        <v>3</v>
      </c>
      <c r="AE32" s="12">
        <v>0.1111</v>
      </c>
      <c r="AF32" s="12">
        <v>0</v>
      </c>
      <c r="AG32" s="12">
        <v>25</v>
      </c>
    </row>
    <row r="33" spans="1:33" ht="15" x14ac:dyDescent="0.2">
      <c r="A33" s="12" t="s">
        <v>69</v>
      </c>
      <c r="B33" s="12" t="s">
        <v>30</v>
      </c>
      <c r="C33" s="12" t="s">
        <v>31</v>
      </c>
      <c r="D33" s="12" t="s">
        <v>32</v>
      </c>
      <c r="E33" s="12">
        <v>324</v>
      </c>
      <c r="F33" s="12">
        <v>52</v>
      </c>
      <c r="G33" s="12">
        <v>29</v>
      </c>
      <c r="H33" s="12">
        <v>20</v>
      </c>
      <c r="I33" s="12">
        <v>31</v>
      </c>
      <c r="J33" s="12">
        <v>0</v>
      </c>
      <c r="K33" s="12">
        <v>0</v>
      </c>
      <c r="L33" s="12">
        <v>0</v>
      </c>
      <c r="M33" s="12">
        <v>2</v>
      </c>
      <c r="N33" s="12">
        <v>3</v>
      </c>
      <c r="O33" s="12">
        <v>3</v>
      </c>
      <c r="P33" s="12">
        <v>0</v>
      </c>
      <c r="Q33" s="12">
        <v>3</v>
      </c>
      <c r="R33" s="12">
        <v>8.5399999999999991</v>
      </c>
      <c r="S33" s="12">
        <v>0.38800000000000001</v>
      </c>
      <c r="T33" s="12">
        <v>21</v>
      </c>
      <c r="U33" s="12">
        <v>0</v>
      </c>
      <c r="V33" s="12">
        <v>512</v>
      </c>
      <c r="W33" s="12">
        <v>23</v>
      </c>
      <c r="X33" s="12">
        <v>0.55769999999999997</v>
      </c>
      <c r="Y33" s="12">
        <v>0.3846</v>
      </c>
      <c r="Z33" s="12">
        <v>0.59619999999999995</v>
      </c>
      <c r="AA33" s="12">
        <v>0</v>
      </c>
      <c r="AB33" s="12">
        <v>0</v>
      </c>
      <c r="AC33" s="12">
        <v>2</v>
      </c>
      <c r="AD33" s="12">
        <v>3</v>
      </c>
      <c r="AE33" s="12">
        <v>0</v>
      </c>
      <c r="AF33" s="12">
        <v>0</v>
      </c>
      <c r="AG33" s="12">
        <v>25</v>
      </c>
    </row>
    <row r="34" spans="1:33" ht="15" x14ac:dyDescent="0.2">
      <c r="A34" s="12" t="s">
        <v>70</v>
      </c>
      <c r="B34" s="12" t="s">
        <v>30</v>
      </c>
      <c r="C34" s="12" t="s">
        <v>31</v>
      </c>
      <c r="D34" s="12" t="s">
        <v>32</v>
      </c>
      <c r="E34" s="12">
        <v>375</v>
      </c>
      <c r="F34" s="12">
        <v>37</v>
      </c>
      <c r="G34" s="12">
        <v>26</v>
      </c>
      <c r="H34" s="12">
        <v>9</v>
      </c>
      <c r="I34" s="12">
        <v>27</v>
      </c>
      <c r="J34" s="12">
        <v>0</v>
      </c>
      <c r="K34" s="12">
        <v>0</v>
      </c>
      <c r="L34" s="12">
        <v>0</v>
      </c>
      <c r="M34" s="12">
        <v>4</v>
      </c>
      <c r="N34" s="12">
        <v>7</v>
      </c>
      <c r="O34" s="12">
        <v>9</v>
      </c>
      <c r="P34" s="12">
        <v>1</v>
      </c>
      <c r="Q34" s="12">
        <v>8</v>
      </c>
      <c r="R34" s="12">
        <v>8.7100000000000009</v>
      </c>
      <c r="S34" s="12">
        <v>0.20499999999999999</v>
      </c>
      <c r="T34" s="12">
        <v>21</v>
      </c>
      <c r="U34" s="12">
        <v>0</v>
      </c>
      <c r="V34" s="12">
        <v>523</v>
      </c>
      <c r="W34" s="12">
        <v>12</v>
      </c>
      <c r="X34" s="12">
        <v>0.70269999999999999</v>
      </c>
      <c r="Y34" s="12">
        <v>0.2432</v>
      </c>
      <c r="Z34" s="12">
        <v>0.72970000000000002</v>
      </c>
      <c r="AA34" s="12">
        <v>0</v>
      </c>
      <c r="AB34" s="12">
        <v>0</v>
      </c>
      <c r="AC34" s="12">
        <v>4</v>
      </c>
      <c r="AD34" s="12">
        <v>7</v>
      </c>
      <c r="AE34" s="12">
        <v>0.1111</v>
      </c>
      <c r="AF34" s="12">
        <v>0</v>
      </c>
      <c r="AG34" s="12">
        <v>57</v>
      </c>
    </row>
    <row r="35" spans="1:33" ht="15" x14ac:dyDescent="0.2">
      <c r="A35" s="12" t="s">
        <v>71</v>
      </c>
      <c r="B35" s="12" t="s">
        <v>30</v>
      </c>
      <c r="C35" s="12" t="s">
        <v>31</v>
      </c>
      <c r="D35" s="12" t="s">
        <v>32</v>
      </c>
      <c r="E35" s="12">
        <v>300</v>
      </c>
      <c r="F35" s="12">
        <v>27</v>
      </c>
      <c r="G35" s="12">
        <v>15</v>
      </c>
      <c r="H35" s="12">
        <v>6</v>
      </c>
      <c r="I35" s="12">
        <v>17</v>
      </c>
      <c r="J35" s="12">
        <v>0</v>
      </c>
      <c r="K35" s="12">
        <v>0</v>
      </c>
      <c r="L35" s="12">
        <v>0</v>
      </c>
      <c r="M35" s="12">
        <v>4</v>
      </c>
      <c r="N35" s="12">
        <v>2</v>
      </c>
      <c r="O35" s="12">
        <v>6</v>
      </c>
      <c r="P35" s="12">
        <v>1</v>
      </c>
      <c r="Q35" s="12">
        <v>5</v>
      </c>
      <c r="R35" s="12">
        <v>5.21</v>
      </c>
      <c r="S35" s="12">
        <v>0.32900000000000001</v>
      </c>
      <c r="T35" s="12">
        <v>21</v>
      </c>
      <c r="U35" s="12">
        <v>6</v>
      </c>
      <c r="V35" s="12">
        <v>312</v>
      </c>
      <c r="W35" s="12">
        <v>20</v>
      </c>
      <c r="X35" s="12">
        <v>0.55559999999999998</v>
      </c>
      <c r="Y35" s="12">
        <v>0.22220000000000001</v>
      </c>
      <c r="Z35" s="12">
        <v>0.62960000000000005</v>
      </c>
      <c r="AA35" s="12">
        <v>0</v>
      </c>
      <c r="AB35" s="12">
        <v>0</v>
      </c>
      <c r="AC35" s="12">
        <v>4</v>
      </c>
      <c r="AD35" s="12">
        <v>2</v>
      </c>
      <c r="AE35" s="12">
        <v>0.16669999999999999</v>
      </c>
      <c r="AF35" s="12">
        <v>0.28570000000000001</v>
      </c>
      <c r="AG35" s="12">
        <v>30</v>
      </c>
    </row>
    <row r="36" spans="1:33" ht="15" x14ac:dyDescent="0.2">
      <c r="A36" s="12" t="s">
        <v>72</v>
      </c>
      <c r="B36" s="12" t="s">
        <v>30</v>
      </c>
      <c r="C36" s="12" t="s">
        <v>31</v>
      </c>
      <c r="D36" s="12" t="s">
        <v>32</v>
      </c>
      <c r="E36" s="12">
        <v>385</v>
      </c>
      <c r="F36" s="12">
        <v>40</v>
      </c>
      <c r="G36" s="12">
        <v>27</v>
      </c>
      <c r="H36" s="12">
        <v>12</v>
      </c>
      <c r="I36" s="12">
        <v>26</v>
      </c>
      <c r="J36" s="12">
        <v>1</v>
      </c>
      <c r="K36" s="12">
        <v>0</v>
      </c>
      <c r="L36" s="12">
        <v>1</v>
      </c>
      <c r="M36" s="12">
        <v>6</v>
      </c>
      <c r="N36" s="12">
        <v>4</v>
      </c>
      <c r="O36" s="12">
        <v>7</v>
      </c>
      <c r="P36" s="12">
        <v>1</v>
      </c>
      <c r="Q36" s="12">
        <v>6</v>
      </c>
      <c r="R36" s="12">
        <v>5.83</v>
      </c>
      <c r="S36" s="12">
        <v>0.48399999999999999</v>
      </c>
      <c r="T36" s="12">
        <v>21</v>
      </c>
      <c r="U36" s="12">
        <v>0</v>
      </c>
      <c r="V36" s="12">
        <v>350</v>
      </c>
      <c r="W36" s="12">
        <v>29</v>
      </c>
      <c r="X36" s="12">
        <v>0.67500000000000004</v>
      </c>
      <c r="Y36" s="12">
        <v>0.3</v>
      </c>
      <c r="Z36" s="12">
        <v>0.65</v>
      </c>
      <c r="AA36" s="12">
        <v>1</v>
      </c>
      <c r="AB36" s="12">
        <v>0</v>
      </c>
      <c r="AC36" s="12">
        <v>6</v>
      </c>
      <c r="AD36" s="12">
        <v>4</v>
      </c>
      <c r="AE36" s="12">
        <v>0.1429</v>
      </c>
      <c r="AF36" s="12">
        <v>0</v>
      </c>
      <c r="AG36" s="12">
        <v>50</v>
      </c>
    </row>
    <row r="37" spans="1:33" ht="15" x14ac:dyDescent="0.2">
      <c r="A37" s="12" t="s">
        <v>73</v>
      </c>
      <c r="B37" s="12" t="s">
        <v>30</v>
      </c>
      <c r="C37" s="12" t="s">
        <v>31</v>
      </c>
      <c r="D37" s="12" t="s">
        <v>32</v>
      </c>
      <c r="E37" s="12">
        <v>352</v>
      </c>
      <c r="F37" s="12">
        <v>43</v>
      </c>
      <c r="G37" s="12">
        <v>25</v>
      </c>
      <c r="H37" s="12">
        <v>15</v>
      </c>
      <c r="I37" s="12">
        <v>25</v>
      </c>
      <c r="J37" s="12">
        <v>0</v>
      </c>
      <c r="K37" s="12">
        <v>0</v>
      </c>
      <c r="L37" s="12">
        <v>0</v>
      </c>
      <c r="M37" s="12">
        <v>6</v>
      </c>
      <c r="N37" s="12">
        <v>4</v>
      </c>
      <c r="O37" s="12">
        <v>7</v>
      </c>
      <c r="P37" s="12">
        <v>1</v>
      </c>
      <c r="Q37" s="12">
        <v>6</v>
      </c>
      <c r="R37" s="12">
        <v>10.41</v>
      </c>
      <c r="S37" s="12">
        <v>0.56899999999999995</v>
      </c>
      <c r="T37" s="12">
        <v>22</v>
      </c>
      <c r="U37" s="12">
        <v>5</v>
      </c>
      <c r="V37" s="12">
        <v>624</v>
      </c>
      <c r="W37" s="12">
        <v>34</v>
      </c>
      <c r="X37" s="12">
        <v>0.58140000000000003</v>
      </c>
      <c r="Y37" s="12">
        <v>0.3488</v>
      </c>
      <c r="Z37" s="12">
        <v>0.58140000000000003</v>
      </c>
      <c r="AA37" s="12">
        <v>0</v>
      </c>
      <c r="AB37" s="12">
        <v>0</v>
      </c>
      <c r="AC37" s="12">
        <v>6</v>
      </c>
      <c r="AD37" s="12">
        <v>4</v>
      </c>
      <c r="AE37" s="12">
        <v>0.1429</v>
      </c>
      <c r="AF37" s="12">
        <v>0.2273</v>
      </c>
      <c r="AG37" s="12">
        <v>15</v>
      </c>
    </row>
    <row r="38" spans="1:33" ht="15" x14ac:dyDescent="0.2">
      <c r="A38" s="12" t="s">
        <v>74</v>
      </c>
      <c r="B38" s="12" t="s">
        <v>30</v>
      </c>
      <c r="C38" s="12" t="s">
        <v>31</v>
      </c>
      <c r="D38" s="12" t="s">
        <v>32</v>
      </c>
      <c r="E38" s="12">
        <v>383</v>
      </c>
      <c r="F38" s="12">
        <v>35</v>
      </c>
      <c r="G38" s="12">
        <v>14</v>
      </c>
      <c r="H38" s="12">
        <v>16</v>
      </c>
      <c r="I38" s="12">
        <v>17</v>
      </c>
      <c r="J38" s="12">
        <v>0</v>
      </c>
      <c r="K38" s="12">
        <v>0</v>
      </c>
      <c r="L38" s="12">
        <v>0</v>
      </c>
      <c r="M38" s="12">
        <v>4</v>
      </c>
      <c r="N38" s="12">
        <v>4</v>
      </c>
      <c r="O38" s="12">
        <v>5</v>
      </c>
      <c r="P38" s="12">
        <v>1</v>
      </c>
      <c r="Q38" s="12">
        <v>4</v>
      </c>
      <c r="R38" s="12">
        <v>9.15</v>
      </c>
      <c r="S38" s="12">
        <v>0.378</v>
      </c>
      <c r="T38" s="12">
        <v>20</v>
      </c>
      <c r="U38" s="12">
        <v>0</v>
      </c>
      <c r="V38" s="12">
        <v>549</v>
      </c>
      <c r="W38" s="12">
        <v>23</v>
      </c>
      <c r="X38" s="12">
        <v>0.4</v>
      </c>
      <c r="Y38" s="12">
        <v>0.45710000000000001</v>
      </c>
      <c r="Z38" s="12">
        <v>0.48570000000000002</v>
      </c>
      <c r="AA38" s="12">
        <v>0</v>
      </c>
      <c r="AB38" s="12">
        <v>0</v>
      </c>
      <c r="AC38" s="12">
        <v>4</v>
      </c>
      <c r="AD38" s="12">
        <v>4</v>
      </c>
      <c r="AE38" s="12">
        <v>0.2</v>
      </c>
      <c r="AF38" s="12">
        <v>0</v>
      </c>
      <c r="AG38" s="12">
        <v>25</v>
      </c>
    </row>
    <row r="39" spans="1:33" ht="15" x14ac:dyDescent="0.2">
      <c r="A39" s="12" t="s">
        <v>75</v>
      </c>
      <c r="B39" s="12" t="s">
        <v>30</v>
      </c>
      <c r="C39" s="12" t="s">
        <v>31</v>
      </c>
      <c r="D39" s="12" t="s">
        <v>32</v>
      </c>
      <c r="E39" s="12">
        <v>412</v>
      </c>
      <c r="F39" s="12">
        <v>51</v>
      </c>
      <c r="G39" s="12">
        <v>30</v>
      </c>
      <c r="H39" s="12">
        <v>18</v>
      </c>
      <c r="I39" s="12">
        <v>30</v>
      </c>
      <c r="J39" s="12">
        <v>1</v>
      </c>
      <c r="K39" s="12">
        <v>0</v>
      </c>
      <c r="L39" s="12">
        <v>1</v>
      </c>
      <c r="M39" s="12">
        <v>3</v>
      </c>
      <c r="N39" s="12">
        <v>4</v>
      </c>
      <c r="O39" s="12">
        <v>5</v>
      </c>
      <c r="P39" s="12">
        <v>1</v>
      </c>
      <c r="Q39" s="12">
        <v>4</v>
      </c>
      <c r="R39" s="12">
        <v>5.52</v>
      </c>
      <c r="S39" s="12">
        <v>0.36399999999999999</v>
      </c>
      <c r="T39" s="12">
        <v>20</v>
      </c>
      <c r="U39" s="12">
        <v>0</v>
      </c>
      <c r="V39" s="12">
        <v>331</v>
      </c>
      <c r="W39" s="12">
        <v>22</v>
      </c>
      <c r="X39" s="12">
        <v>0.58819999999999995</v>
      </c>
      <c r="Y39" s="12">
        <v>0.35289999999999999</v>
      </c>
      <c r="Z39" s="12">
        <v>0.58819999999999995</v>
      </c>
      <c r="AA39" s="12">
        <v>1</v>
      </c>
      <c r="AB39" s="12">
        <v>0</v>
      </c>
      <c r="AC39" s="12">
        <v>3</v>
      </c>
      <c r="AD39" s="12">
        <v>4</v>
      </c>
      <c r="AE39" s="12">
        <v>0.2</v>
      </c>
      <c r="AF39" s="12">
        <v>0</v>
      </c>
      <c r="AG39" s="12">
        <v>25</v>
      </c>
    </row>
    <row r="40" spans="1:33" ht="15" x14ac:dyDescent="0.2">
      <c r="A40" s="12" t="s">
        <v>76</v>
      </c>
      <c r="B40" s="12" t="s">
        <v>30</v>
      </c>
      <c r="C40" s="12" t="s">
        <v>34</v>
      </c>
      <c r="D40" s="12" t="s">
        <v>32</v>
      </c>
      <c r="E40" s="12">
        <v>339</v>
      </c>
      <c r="F40" s="12">
        <v>19</v>
      </c>
      <c r="G40" s="12">
        <v>13</v>
      </c>
      <c r="H40" s="12">
        <v>5</v>
      </c>
      <c r="I40" s="12">
        <v>12</v>
      </c>
      <c r="J40" s="12">
        <v>0</v>
      </c>
      <c r="K40" s="12">
        <v>0</v>
      </c>
      <c r="L40" s="12">
        <v>0</v>
      </c>
      <c r="M40" s="12">
        <v>4</v>
      </c>
      <c r="N40" s="12">
        <v>5</v>
      </c>
      <c r="O40" s="12">
        <v>6</v>
      </c>
      <c r="P40" s="12">
        <v>0</v>
      </c>
      <c r="Q40" s="12">
        <v>6</v>
      </c>
      <c r="R40" s="12">
        <v>11.08</v>
      </c>
      <c r="S40" s="12">
        <v>0.33100000000000002</v>
      </c>
      <c r="T40" s="12">
        <v>19</v>
      </c>
      <c r="U40" s="12">
        <v>0</v>
      </c>
      <c r="V40" s="12">
        <v>665</v>
      </c>
      <c r="W40" s="12">
        <v>20</v>
      </c>
      <c r="X40" s="12">
        <v>0.68420000000000003</v>
      </c>
      <c r="Y40" s="12">
        <v>0.26319999999999999</v>
      </c>
      <c r="Z40" s="12">
        <v>0.63160000000000005</v>
      </c>
      <c r="AA40" s="12">
        <v>0</v>
      </c>
      <c r="AB40" s="12">
        <v>0</v>
      </c>
      <c r="AC40" s="12">
        <v>4</v>
      </c>
      <c r="AD40" s="12">
        <v>5</v>
      </c>
      <c r="AE40" s="12">
        <v>0</v>
      </c>
      <c r="AF40" s="12">
        <v>0</v>
      </c>
      <c r="AG40" s="12">
        <v>50</v>
      </c>
    </row>
    <row r="41" spans="1:33" ht="15" x14ac:dyDescent="0.2">
      <c r="A41" s="12" t="s">
        <v>77</v>
      </c>
      <c r="B41" s="12" t="s">
        <v>30</v>
      </c>
      <c r="C41" s="12" t="s">
        <v>61</v>
      </c>
      <c r="D41" s="12" t="s">
        <v>32</v>
      </c>
      <c r="E41" s="12">
        <v>384</v>
      </c>
      <c r="F41" s="12">
        <v>59</v>
      </c>
      <c r="G41" s="12">
        <v>40</v>
      </c>
      <c r="H41" s="12">
        <v>16</v>
      </c>
      <c r="I41" s="12">
        <v>41</v>
      </c>
      <c r="J41" s="12">
        <v>0</v>
      </c>
      <c r="K41" s="12">
        <v>0</v>
      </c>
      <c r="L41" s="12">
        <v>0</v>
      </c>
      <c r="M41" s="12">
        <v>5</v>
      </c>
      <c r="N41" s="12">
        <v>6</v>
      </c>
      <c r="O41" s="12">
        <v>7</v>
      </c>
      <c r="P41" s="12">
        <v>1</v>
      </c>
      <c r="Q41" s="12">
        <v>6</v>
      </c>
      <c r="R41" s="12">
        <v>6.6</v>
      </c>
      <c r="S41" s="12">
        <v>0.39700000000000002</v>
      </c>
      <c r="T41" s="12">
        <v>21</v>
      </c>
      <c r="U41" s="12">
        <v>0</v>
      </c>
      <c r="V41" s="12">
        <v>396</v>
      </c>
      <c r="W41" s="12">
        <v>24</v>
      </c>
      <c r="X41" s="12">
        <v>0.67800000000000005</v>
      </c>
      <c r="Y41" s="12">
        <v>0.2712</v>
      </c>
      <c r="Z41" s="12">
        <v>0.69489999999999996</v>
      </c>
      <c r="AA41" s="12">
        <v>0</v>
      </c>
      <c r="AB41" s="12">
        <v>0</v>
      </c>
      <c r="AC41" s="12">
        <v>5</v>
      </c>
      <c r="AD41" s="12">
        <v>6</v>
      </c>
      <c r="AE41" s="12">
        <v>0.1429</v>
      </c>
      <c r="AF41" s="12">
        <v>0</v>
      </c>
      <c r="AG41" s="12">
        <v>50</v>
      </c>
    </row>
    <row r="42" spans="1:33" ht="15" x14ac:dyDescent="0.2">
      <c r="A42" s="12" t="s">
        <v>78</v>
      </c>
      <c r="B42" s="12" t="s">
        <v>30</v>
      </c>
      <c r="C42" s="12" t="s">
        <v>38</v>
      </c>
      <c r="D42" s="12" t="s">
        <v>39</v>
      </c>
      <c r="E42" s="12">
        <v>314</v>
      </c>
      <c r="F42" s="12">
        <v>64</v>
      </c>
      <c r="G42" s="12">
        <v>24</v>
      </c>
      <c r="H42" s="12">
        <v>39</v>
      </c>
      <c r="I42" s="12">
        <v>21</v>
      </c>
      <c r="J42" s="12">
        <v>0</v>
      </c>
      <c r="K42" s="12">
        <v>0</v>
      </c>
      <c r="L42" s="12">
        <v>0</v>
      </c>
      <c r="M42" s="12">
        <v>2</v>
      </c>
      <c r="N42" s="12">
        <v>1</v>
      </c>
      <c r="O42" s="12">
        <v>6</v>
      </c>
      <c r="P42" s="12">
        <v>4</v>
      </c>
      <c r="Q42" s="12">
        <v>2</v>
      </c>
      <c r="R42" s="12">
        <v>3.97</v>
      </c>
      <c r="S42" s="12">
        <v>0.249</v>
      </c>
      <c r="T42" s="12">
        <v>20</v>
      </c>
      <c r="U42" s="12">
        <v>1</v>
      </c>
      <c r="V42" s="12">
        <v>238</v>
      </c>
      <c r="W42" s="12">
        <v>15</v>
      </c>
      <c r="X42" s="12">
        <v>0.375</v>
      </c>
      <c r="Y42" s="12">
        <v>0.60940000000000005</v>
      </c>
      <c r="Z42" s="12">
        <v>0.3281</v>
      </c>
      <c r="AA42" s="12">
        <v>0</v>
      </c>
      <c r="AB42" s="12">
        <v>0</v>
      </c>
      <c r="AC42" s="12">
        <v>2</v>
      </c>
      <c r="AD42" s="12">
        <v>1</v>
      </c>
      <c r="AE42" s="12">
        <v>0.66669999999999996</v>
      </c>
      <c r="AF42" s="12">
        <v>0.05</v>
      </c>
      <c r="AG42" s="12">
        <v>35</v>
      </c>
    </row>
    <row r="43" spans="1:33" ht="15" x14ac:dyDescent="0.2">
      <c r="A43" s="12" t="s">
        <v>79</v>
      </c>
      <c r="B43" s="12" t="s">
        <v>30</v>
      </c>
      <c r="C43" s="12" t="s">
        <v>38</v>
      </c>
      <c r="D43" s="12" t="s">
        <v>39</v>
      </c>
      <c r="E43" s="12">
        <v>310</v>
      </c>
      <c r="F43" s="12">
        <v>49</v>
      </c>
      <c r="G43" s="12">
        <v>39</v>
      </c>
      <c r="H43" s="12">
        <v>6</v>
      </c>
      <c r="I43" s="12">
        <v>34</v>
      </c>
      <c r="J43" s="12">
        <v>0</v>
      </c>
      <c r="K43" s="12">
        <v>0</v>
      </c>
      <c r="L43" s="12">
        <v>0</v>
      </c>
      <c r="M43" s="12">
        <v>5</v>
      </c>
      <c r="N43" s="12">
        <v>5</v>
      </c>
      <c r="O43" s="12">
        <v>7</v>
      </c>
      <c r="P43" s="12">
        <v>1</v>
      </c>
      <c r="Q43" s="12">
        <v>6</v>
      </c>
      <c r="R43" s="12">
        <v>3.95</v>
      </c>
      <c r="S43" s="12">
        <v>0.22800000000000001</v>
      </c>
      <c r="T43" s="12">
        <v>20</v>
      </c>
      <c r="U43" s="12">
        <v>1</v>
      </c>
      <c r="V43" s="12">
        <v>237</v>
      </c>
      <c r="W43" s="12">
        <v>14</v>
      </c>
      <c r="X43" s="12">
        <v>0.79590000000000005</v>
      </c>
      <c r="Y43" s="12">
        <v>0.12239999999999999</v>
      </c>
      <c r="Z43" s="12">
        <v>0.69389999999999996</v>
      </c>
      <c r="AA43" s="12">
        <v>0</v>
      </c>
      <c r="AB43" s="12">
        <v>0</v>
      </c>
      <c r="AC43" s="12">
        <v>5</v>
      </c>
      <c r="AD43" s="12">
        <v>5</v>
      </c>
      <c r="AE43" s="12">
        <v>0.1429</v>
      </c>
      <c r="AF43" s="12">
        <v>0.05</v>
      </c>
      <c r="AG43" s="12">
        <v>55</v>
      </c>
    </row>
    <row r="44" spans="1:33" ht="15" x14ac:dyDescent="0.2">
      <c r="A44" s="12" t="s">
        <v>80</v>
      </c>
      <c r="B44" s="12" t="s">
        <v>30</v>
      </c>
      <c r="C44" s="12" t="s">
        <v>38</v>
      </c>
      <c r="D44" s="12" t="s">
        <v>39</v>
      </c>
      <c r="E44" s="12">
        <v>253</v>
      </c>
      <c r="F44" s="12">
        <v>34</v>
      </c>
      <c r="G44" s="12">
        <v>21</v>
      </c>
      <c r="H44" s="12">
        <v>13</v>
      </c>
      <c r="I44" s="12">
        <v>21</v>
      </c>
      <c r="J44" s="12">
        <v>0</v>
      </c>
      <c r="K44" s="12">
        <v>0</v>
      </c>
      <c r="L44" s="12">
        <v>0</v>
      </c>
      <c r="M44" s="12">
        <v>5</v>
      </c>
      <c r="N44" s="12">
        <v>6</v>
      </c>
      <c r="O44" s="12">
        <v>7</v>
      </c>
      <c r="P44" s="12">
        <v>1</v>
      </c>
      <c r="Q44" s="12">
        <v>6</v>
      </c>
      <c r="R44" s="12">
        <v>5.14</v>
      </c>
      <c r="S44" s="12">
        <v>0.30499999999999999</v>
      </c>
      <c r="T44" s="12">
        <v>19</v>
      </c>
      <c r="U44" s="12">
        <v>4</v>
      </c>
      <c r="V44" s="12">
        <v>309</v>
      </c>
      <c r="W44" s="12">
        <v>18</v>
      </c>
      <c r="X44" s="12">
        <v>0.61760000000000004</v>
      </c>
      <c r="Y44" s="12">
        <v>0.38240000000000002</v>
      </c>
      <c r="Z44" s="12">
        <v>0.61760000000000004</v>
      </c>
      <c r="AA44" s="12">
        <v>0</v>
      </c>
      <c r="AB44" s="12">
        <v>0</v>
      </c>
      <c r="AC44" s="12">
        <v>5</v>
      </c>
      <c r="AD44" s="12">
        <v>6</v>
      </c>
      <c r="AE44" s="12">
        <v>0.1429</v>
      </c>
      <c r="AF44" s="12">
        <v>0.21049999999999999</v>
      </c>
      <c r="AG44" s="12">
        <v>45</v>
      </c>
    </row>
    <row r="45" spans="1:33" ht="15" x14ac:dyDescent="0.2">
      <c r="A45" s="12" t="s">
        <v>81</v>
      </c>
      <c r="B45" s="12" t="s">
        <v>30</v>
      </c>
      <c r="C45" s="12" t="s">
        <v>38</v>
      </c>
      <c r="D45" s="12" t="s">
        <v>39</v>
      </c>
      <c r="E45" s="12">
        <v>308</v>
      </c>
      <c r="F45" s="12">
        <v>35</v>
      </c>
      <c r="G45" s="12">
        <v>22</v>
      </c>
      <c r="H45" s="12">
        <v>12</v>
      </c>
      <c r="I45" s="12">
        <v>21</v>
      </c>
      <c r="J45" s="12">
        <v>0</v>
      </c>
      <c r="K45" s="12">
        <v>0</v>
      </c>
      <c r="L45" s="12">
        <v>0</v>
      </c>
      <c r="M45" s="12">
        <v>5</v>
      </c>
      <c r="N45" s="12">
        <v>5</v>
      </c>
      <c r="O45" s="12">
        <v>7</v>
      </c>
      <c r="P45" s="12">
        <v>1</v>
      </c>
      <c r="Q45" s="12">
        <v>6</v>
      </c>
      <c r="R45" s="12">
        <v>5.71</v>
      </c>
      <c r="S45" s="12">
        <v>0.29499999999999998</v>
      </c>
      <c r="T45" s="12">
        <v>20</v>
      </c>
      <c r="U45" s="12">
        <v>1</v>
      </c>
      <c r="V45" s="12">
        <v>343</v>
      </c>
      <c r="W45" s="12">
        <v>18</v>
      </c>
      <c r="X45" s="12">
        <v>0.62860000000000005</v>
      </c>
      <c r="Y45" s="12">
        <v>0.34289999999999998</v>
      </c>
      <c r="Z45" s="12">
        <v>0.6</v>
      </c>
      <c r="AA45" s="12">
        <v>0</v>
      </c>
      <c r="AB45" s="12">
        <v>0</v>
      </c>
      <c r="AC45" s="12">
        <v>5</v>
      </c>
      <c r="AD45" s="12">
        <v>5</v>
      </c>
      <c r="AE45" s="12">
        <v>0.1429</v>
      </c>
      <c r="AF45" s="12">
        <v>0.05</v>
      </c>
      <c r="AG45" s="12">
        <v>45</v>
      </c>
    </row>
    <row r="46" spans="1:33" ht="15" x14ac:dyDescent="0.2">
      <c r="A46" s="12" t="s">
        <v>82</v>
      </c>
      <c r="B46" s="12" t="s">
        <v>30</v>
      </c>
      <c r="C46" s="12" t="s">
        <v>38</v>
      </c>
      <c r="D46" s="12" t="s">
        <v>39</v>
      </c>
      <c r="E46" s="12">
        <v>171</v>
      </c>
      <c r="F46" s="12">
        <v>32</v>
      </c>
      <c r="G46" s="12">
        <v>19</v>
      </c>
      <c r="H46" s="12">
        <v>10</v>
      </c>
      <c r="I46" s="12">
        <v>18</v>
      </c>
      <c r="J46" s="12">
        <v>0</v>
      </c>
      <c r="K46" s="12">
        <v>0</v>
      </c>
      <c r="L46" s="12">
        <v>0</v>
      </c>
      <c r="M46" s="12">
        <v>4</v>
      </c>
      <c r="N46" s="12">
        <v>2</v>
      </c>
      <c r="O46" s="12">
        <v>5</v>
      </c>
      <c r="P46" s="12">
        <v>1</v>
      </c>
      <c r="Q46" s="12">
        <v>4</v>
      </c>
      <c r="R46" s="12">
        <v>5.59</v>
      </c>
      <c r="S46" s="12">
        <v>0.34100000000000003</v>
      </c>
      <c r="T46" s="12">
        <v>19</v>
      </c>
      <c r="U46" s="12">
        <v>2</v>
      </c>
      <c r="V46" s="12">
        <v>335</v>
      </c>
      <c r="W46" s="12">
        <v>20</v>
      </c>
      <c r="X46" s="12">
        <v>0.59379999999999999</v>
      </c>
      <c r="Y46" s="12">
        <v>0.3125</v>
      </c>
      <c r="Z46" s="12">
        <v>0.5625</v>
      </c>
      <c r="AA46" s="12">
        <v>0</v>
      </c>
      <c r="AB46" s="12">
        <v>0</v>
      </c>
      <c r="AC46" s="12">
        <v>4</v>
      </c>
      <c r="AD46" s="12">
        <v>2</v>
      </c>
      <c r="AE46" s="12">
        <v>0.2</v>
      </c>
      <c r="AF46" s="12">
        <v>0.1053</v>
      </c>
      <c r="AG46" s="12">
        <v>25</v>
      </c>
    </row>
    <row r="47" spans="1:33" ht="15" x14ac:dyDescent="0.2">
      <c r="A47" s="12" t="s">
        <v>83</v>
      </c>
      <c r="B47" s="12" t="s">
        <v>30</v>
      </c>
      <c r="C47" s="12" t="s">
        <v>38</v>
      </c>
      <c r="D47" s="12" t="s">
        <v>39</v>
      </c>
      <c r="E47" s="12">
        <v>308</v>
      </c>
      <c r="F47" s="12">
        <v>27</v>
      </c>
      <c r="G47" s="12">
        <v>15</v>
      </c>
      <c r="H47" s="12">
        <v>10</v>
      </c>
      <c r="I47" s="12">
        <v>14</v>
      </c>
      <c r="J47" s="12">
        <v>0</v>
      </c>
      <c r="K47" s="12">
        <v>0</v>
      </c>
      <c r="L47" s="12">
        <v>0</v>
      </c>
      <c r="M47" s="12">
        <v>4</v>
      </c>
      <c r="N47" s="12">
        <v>5</v>
      </c>
      <c r="O47" s="12">
        <v>5</v>
      </c>
      <c r="P47" s="12">
        <v>0</v>
      </c>
      <c r="Q47" s="12">
        <v>5</v>
      </c>
      <c r="R47" s="12">
        <v>5.0599999999999996</v>
      </c>
      <c r="S47" s="12">
        <v>0.30199999999999999</v>
      </c>
      <c r="T47" s="12">
        <v>20</v>
      </c>
      <c r="U47" s="12">
        <v>2</v>
      </c>
      <c r="V47" s="12">
        <v>303</v>
      </c>
      <c r="W47" s="12">
        <v>18</v>
      </c>
      <c r="X47" s="12">
        <v>0.55559999999999998</v>
      </c>
      <c r="Y47" s="12">
        <v>0.37040000000000001</v>
      </c>
      <c r="Z47" s="12">
        <v>0.51849999999999996</v>
      </c>
      <c r="AA47" s="12">
        <v>0</v>
      </c>
      <c r="AB47" s="12">
        <v>0</v>
      </c>
      <c r="AC47" s="12">
        <v>4</v>
      </c>
      <c r="AD47" s="12">
        <v>5</v>
      </c>
      <c r="AE47" s="12">
        <v>0</v>
      </c>
      <c r="AF47" s="12">
        <v>0.1</v>
      </c>
      <c r="AG47" s="12">
        <v>25</v>
      </c>
    </row>
    <row r="48" spans="1:33" ht="15" x14ac:dyDescent="0.2">
      <c r="A48" s="12" t="s">
        <v>84</v>
      </c>
      <c r="B48" s="12" t="s">
        <v>30</v>
      </c>
      <c r="C48" s="12" t="s">
        <v>38</v>
      </c>
      <c r="D48" s="12" t="s">
        <v>39</v>
      </c>
      <c r="E48" s="12">
        <v>217</v>
      </c>
      <c r="F48" s="12">
        <v>13</v>
      </c>
      <c r="G48" s="12">
        <v>7</v>
      </c>
      <c r="H48" s="12">
        <v>4</v>
      </c>
      <c r="I48" s="12">
        <v>8</v>
      </c>
      <c r="J48" s="12">
        <v>0</v>
      </c>
      <c r="K48" s="12">
        <v>0</v>
      </c>
      <c r="L48" s="12">
        <v>0</v>
      </c>
      <c r="M48" s="12">
        <v>8</v>
      </c>
      <c r="N48" s="12">
        <v>6</v>
      </c>
      <c r="O48" s="12">
        <v>8</v>
      </c>
      <c r="P48" s="12">
        <v>0</v>
      </c>
      <c r="Q48" s="12">
        <v>8</v>
      </c>
      <c r="R48" s="12">
        <v>9.1</v>
      </c>
      <c r="S48" s="12">
        <v>0.54400000000000004</v>
      </c>
      <c r="T48" s="12">
        <v>19</v>
      </c>
      <c r="U48" s="12">
        <v>5</v>
      </c>
      <c r="V48" s="12">
        <v>546</v>
      </c>
      <c r="W48" s="12">
        <v>33</v>
      </c>
      <c r="X48" s="12">
        <v>0.53849999999999998</v>
      </c>
      <c r="Y48" s="12">
        <v>0.30769999999999997</v>
      </c>
      <c r="Z48" s="12">
        <v>0.61539999999999995</v>
      </c>
      <c r="AA48" s="12">
        <v>0</v>
      </c>
      <c r="AB48" s="12">
        <v>0</v>
      </c>
      <c r="AC48" s="12">
        <v>8</v>
      </c>
      <c r="AD48" s="12">
        <v>6</v>
      </c>
      <c r="AE48" s="12">
        <v>0</v>
      </c>
      <c r="AF48" s="12">
        <v>0.26319999999999999</v>
      </c>
      <c r="AG48" s="12">
        <v>20</v>
      </c>
    </row>
    <row r="49" spans="1:33" ht="15" x14ac:dyDescent="0.2">
      <c r="A49" s="12" t="s">
        <v>85</v>
      </c>
      <c r="B49" s="12" t="s">
        <v>30</v>
      </c>
      <c r="C49" s="12" t="s">
        <v>31</v>
      </c>
      <c r="D49" s="12" t="s">
        <v>32</v>
      </c>
      <c r="E49" s="12">
        <v>391</v>
      </c>
      <c r="F49" s="12">
        <v>63</v>
      </c>
      <c r="G49" s="12">
        <v>48</v>
      </c>
      <c r="H49" s="12">
        <v>13</v>
      </c>
      <c r="I49" s="12">
        <v>48</v>
      </c>
      <c r="J49" s="12">
        <v>0</v>
      </c>
      <c r="K49" s="12">
        <v>0</v>
      </c>
      <c r="L49" s="12">
        <v>0</v>
      </c>
      <c r="M49" s="12">
        <v>5</v>
      </c>
      <c r="N49" s="12">
        <v>3</v>
      </c>
      <c r="O49" s="12">
        <v>7</v>
      </c>
      <c r="P49" s="12">
        <v>2</v>
      </c>
      <c r="Q49" s="12">
        <v>5</v>
      </c>
      <c r="R49" s="12">
        <v>5.26</v>
      </c>
      <c r="S49" s="12">
        <v>0.39300000000000002</v>
      </c>
      <c r="T49" s="12">
        <v>20</v>
      </c>
      <c r="U49" s="12">
        <v>1</v>
      </c>
      <c r="V49" s="12">
        <v>316</v>
      </c>
      <c r="W49" s="12">
        <v>24</v>
      </c>
      <c r="X49" s="12">
        <v>0.76190000000000002</v>
      </c>
      <c r="Y49" s="12">
        <v>0.20630000000000001</v>
      </c>
      <c r="Z49" s="12">
        <v>0.76190000000000002</v>
      </c>
      <c r="AA49" s="12">
        <v>0</v>
      </c>
      <c r="AB49" s="12">
        <v>0</v>
      </c>
      <c r="AC49" s="12">
        <v>5</v>
      </c>
      <c r="AD49" s="12">
        <v>3</v>
      </c>
      <c r="AE49" s="12">
        <v>0.28570000000000001</v>
      </c>
      <c r="AF49" s="12">
        <v>0.05</v>
      </c>
      <c r="AG49" s="12">
        <v>57</v>
      </c>
    </row>
    <row r="50" spans="1:33" ht="15" x14ac:dyDescent="0.2">
      <c r="A50" s="12" t="s">
        <v>86</v>
      </c>
      <c r="B50" s="12" t="s">
        <v>30</v>
      </c>
      <c r="C50" s="12" t="s">
        <v>61</v>
      </c>
      <c r="D50" s="12" t="s">
        <v>32</v>
      </c>
      <c r="E50" s="12">
        <v>340</v>
      </c>
      <c r="F50" s="12">
        <v>49</v>
      </c>
      <c r="G50" s="12">
        <v>28</v>
      </c>
      <c r="H50" s="12">
        <v>19</v>
      </c>
      <c r="I50" s="12">
        <v>28</v>
      </c>
      <c r="J50" s="12">
        <v>0</v>
      </c>
      <c r="K50" s="12">
        <v>0</v>
      </c>
      <c r="L50" s="12">
        <v>0</v>
      </c>
      <c r="M50" s="12">
        <v>4</v>
      </c>
      <c r="N50" s="12">
        <v>5</v>
      </c>
      <c r="O50" s="12">
        <v>9</v>
      </c>
      <c r="P50" s="12">
        <v>3</v>
      </c>
      <c r="Q50" s="12">
        <v>6</v>
      </c>
      <c r="R50" s="12">
        <v>7.54</v>
      </c>
      <c r="S50" s="12">
        <v>0.55600000000000005</v>
      </c>
      <c r="T50" s="12">
        <v>21</v>
      </c>
      <c r="U50" s="12">
        <v>3</v>
      </c>
      <c r="V50" s="12">
        <v>452</v>
      </c>
      <c r="W50" s="12">
        <v>33</v>
      </c>
      <c r="X50" s="12">
        <v>0.57140000000000002</v>
      </c>
      <c r="Y50" s="12">
        <v>0.38779999999999998</v>
      </c>
      <c r="Z50" s="12">
        <v>0.57140000000000002</v>
      </c>
      <c r="AA50" s="12">
        <v>0</v>
      </c>
      <c r="AB50" s="12">
        <v>0</v>
      </c>
      <c r="AC50" s="12">
        <v>4</v>
      </c>
      <c r="AD50" s="12">
        <v>5</v>
      </c>
      <c r="AE50" s="12">
        <v>0.33329999999999999</v>
      </c>
      <c r="AF50" s="12">
        <v>0.1429</v>
      </c>
      <c r="AG50" s="12">
        <v>15</v>
      </c>
    </row>
    <row r="51" spans="1:33" ht="15" x14ac:dyDescent="0.2">
      <c r="A51" s="12" t="s">
        <v>87</v>
      </c>
      <c r="B51" s="12" t="s">
        <v>30</v>
      </c>
      <c r="C51" s="12" t="s">
        <v>34</v>
      </c>
      <c r="D51" s="12" t="s">
        <v>32</v>
      </c>
      <c r="E51" s="12">
        <v>371</v>
      </c>
      <c r="F51" s="12">
        <v>47</v>
      </c>
      <c r="G51" s="12">
        <v>37</v>
      </c>
      <c r="H51" s="12">
        <v>10</v>
      </c>
      <c r="I51" s="12">
        <v>36</v>
      </c>
      <c r="J51" s="12">
        <v>0</v>
      </c>
      <c r="K51" s="12">
        <v>0</v>
      </c>
      <c r="L51" s="12">
        <v>0</v>
      </c>
      <c r="M51" s="12">
        <v>3</v>
      </c>
      <c r="N51" s="12">
        <v>4</v>
      </c>
      <c r="O51" s="12">
        <v>6</v>
      </c>
      <c r="P51" s="12">
        <v>1</v>
      </c>
      <c r="Q51" s="12">
        <v>5</v>
      </c>
      <c r="R51" s="12">
        <v>5.39</v>
      </c>
      <c r="S51" s="12">
        <v>0.186</v>
      </c>
      <c r="T51" s="12">
        <v>19</v>
      </c>
      <c r="U51" s="12">
        <v>1</v>
      </c>
      <c r="V51" s="12">
        <v>324</v>
      </c>
      <c r="W51" s="12">
        <v>11</v>
      </c>
      <c r="X51" s="12">
        <v>0.78720000000000001</v>
      </c>
      <c r="Y51" s="12">
        <v>0.21279999999999999</v>
      </c>
      <c r="Z51" s="12">
        <v>0.76600000000000001</v>
      </c>
      <c r="AA51" s="12">
        <v>0</v>
      </c>
      <c r="AB51" s="12">
        <v>0</v>
      </c>
      <c r="AC51" s="12">
        <v>3</v>
      </c>
      <c r="AD51" s="12">
        <v>4</v>
      </c>
      <c r="AE51" s="12">
        <v>0.16669999999999999</v>
      </c>
      <c r="AF51" s="12">
        <v>5.2600000000000001E-2</v>
      </c>
      <c r="AG51" s="12">
        <v>57</v>
      </c>
    </row>
    <row r="52" spans="1:33" ht="15" x14ac:dyDescent="0.2">
      <c r="A52" s="12" t="s">
        <v>88</v>
      </c>
      <c r="B52" s="12" t="s">
        <v>30</v>
      </c>
      <c r="C52" s="12" t="s">
        <v>47</v>
      </c>
      <c r="D52" s="12" t="s">
        <v>32</v>
      </c>
      <c r="E52" s="12">
        <v>364</v>
      </c>
      <c r="F52" s="12">
        <v>40</v>
      </c>
      <c r="G52" s="12">
        <v>19</v>
      </c>
      <c r="H52" s="12">
        <v>18</v>
      </c>
      <c r="I52" s="12">
        <v>18</v>
      </c>
      <c r="J52" s="12">
        <v>0</v>
      </c>
      <c r="K52" s="12">
        <v>0</v>
      </c>
      <c r="L52" s="12">
        <v>0</v>
      </c>
      <c r="M52" s="12">
        <v>4</v>
      </c>
      <c r="N52" s="12">
        <v>6</v>
      </c>
      <c r="O52" s="12">
        <v>8</v>
      </c>
      <c r="P52" s="12">
        <v>2</v>
      </c>
      <c r="Q52" s="12">
        <v>6</v>
      </c>
      <c r="R52" s="12">
        <v>7.7</v>
      </c>
      <c r="S52" s="12">
        <v>0.34699999999999998</v>
      </c>
      <c r="T52" s="12">
        <v>20</v>
      </c>
      <c r="U52" s="12">
        <v>0</v>
      </c>
      <c r="V52" s="12">
        <v>462</v>
      </c>
      <c r="W52" s="12">
        <v>21</v>
      </c>
      <c r="X52" s="12">
        <v>0.47499999999999998</v>
      </c>
      <c r="Y52" s="12">
        <v>0.45</v>
      </c>
      <c r="Z52" s="12">
        <v>0.45</v>
      </c>
      <c r="AA52" s="12">
        <v>0</v>
      </c>
      <c r="AB52" s="12">
        <v>0</v>
      </c>
      <c r="AC52" s="12">
        <v>4</v>
      </c>
      <c r="AD52" s="12">
        <v>6</v>
      </c>
      <c r="AE52" s="12">
        <v>0.25</v>
      </c>
      <c r="AF52" s="12">
        <v>0</v>
      </c>
      <c r="AG52" s="12">
        <v>25</v>
      </c>
    </row>
    <row r="53" spans="1:33" ht="15" x14ac:dyDescent="0.2">
      <c r="A53" s="12" t="s">
        <v>89</v>
      </c>
      <c r="B53" s="12" t="s">
        <v>30</v>
      </c>
      <c r="C53" s="12" t="s">
        <v>47</v>
      </c>
      <c r="D53" s="12" t="s">
        <v>32</v>
      </c>
      <c r="E53" s="12">
        <v>368</v>
      </c>
      <c r="F53" s="12">
        <v>77</v>
      </c>
      <c r="G53" s="12">
        <v>66</v>
      </c>
      <c r="H53" s="12">
        <v>8</v>
      </c>
      <c r="I53" s="12">
        <v>67</v>
      </c>
      <c r="J53" s="12">
        <v>0</v>
      </c>
      <c r="K53" s="12">
        <v>0</v>
      </c>
      <c r="L53" s="12">
        <v>0</v>
      </c>
      <c r="M53" s="12">
        <v>6</v>
      </c>
      <c r="N53" s="12">
        <v>7</v>
      </c>
      <c r="O53" s="12">
        <v>7</v>
      </c>
      <c r="P53" s="12">
        <v>0</v>
      </c>
      <c r="Q53" s="12">
        <v>7</v>
      </c>
      <c r="R53" s="12">
        <v>5.5</v>
      </c>
      <c r="S53" s="12">
        <v>0.308</v>
      </c>
      <c r="T53" s="12">
        <v>20</v>
      </c>
      <c r="U53" s="12">
        <v>0</v>
      </c>
      <c r="V53" s="12">
        <v>330</v>
      </c>
      <c r="W53" s="12">
        <v>19</v>
      </c>
      <c r="X53" s="12">
        <v>0.85709999999999997</v>
      </c>
      <c r="Y53" s="12">
        <v>0.10390000000000001</v>
      </c>
      <c r="Z53" s="12">
        <v>0.87009999999999998</v>
      </c>
      <c r="AA53" s="12">
        <v>0</v>
      </c>
      <c r="AB53" s="12">
        <v>0</v>
      </c>
      <c r="AC53" s="12">
        <v>6</v>
      </c>
      <c r="AD53" s="12">
        <v>7</v>
      </c>
      <c r="AE53" s="12">
        <v>0</v>
      </c>
      <c r="AF53" s="12">
        <v>0</v>
      </c>
      <c r="AG53" s="12">
        <v>60</v>
      </c>
    </row>
    <row r="54" spans="1:33" ht="15" x14ac:dyDescent="0.2">
      <c r="A54" s="12" t="s">
        <v>90</v>
      </c>
      <c r="B54" s="12" t="s">
        <v>30</v>
      </c>
      <c r="C54" s="12" t="s">
        <v>31</v>
      </c>
      <c r="D54" s="12" t="s">
        <v>32</v>
      </c>
      <c r="E54" s="12">
        <v>366</v>
      </c>
      <c r="F54" s="12">
        <v>49</v>
      </c>
      <c r="G54" s="12">
        <v>24</v>
      </c>
      <c r="H54" s="12">
        <v>19</v>
      </c>
      <c r="I54" s="12">
        <v>24</v>
      </c>
      <c r="J54" s="12">
        <v>0</v>
      </c>
      <c r="K54" s="12">
        <v>0</v>
      </c>
      <c r="L54" s="12">
        <v>0</v>
      </c>
      <c r="M54" s="12">
        <v>4</v>
      </c>
      <c r="N54" s="12">
        <v>3</v>
      </c>
      <c r="O54" s="12">
        <v>7</v>
      </c>
      <c r="P54" s="12">
        <v>3</v>
      </c>
      <c r="Q54" s="12">
        <v>4</v>
      </c>
      <c r="R54" s="12">
        <v>6.07</v>
      </c>
      <c r="S54" s="12">
        <v>0.35299999999999998</v>
      </c>
      <c r="T54" s="12">
        <v>20</v>
      </c>
      <c r="U54" s="12">
        <v>2</v>
      </c>
      <c r="V54" s="12">
        <v>364</v>
      </c>
      <c r="W54" s="12">
        <v>21</v>
      </c>
      <c r="X54" s="12">
        <v>0.48980000000000001</v>
      </c>
      <c r="Y54" s="12">
        <v>0.38779999999999998</v>
      </c>
      <c r="Z54" s="12">
        <v>0.48980000000000001</v>
      </c>
      <c r="AA54" s="12">
        <v>0</v>
      </c>
      <c r="AB54" s="12">
        <v>0</v>
      </c>
      <c r="AC54" s="12">
        <v>4</v>
      </c>
      <c r="AD54" s="12">
        <v>3</v>
      </c>
      <c r="AE54" s="12">
        <v>0.42859999999999998</v>
      </c>
      <c r="AF54" s="12">
        <v>0.1</v>
      </c>
      <c r="AG54" s="12">
        <v>25</v>
      </c>
    </row>
    <row r="55" spans="1:33" ht="15" x14ac:dyDescent="0.2">
      <c r="A55" s="12" t="s">
        <v>91</v>
      </c>
      <c r="B55" s="12" t="s">
        <v>30</v>
      </c>
      <c r="C55" s="12" t="s">
        <v>38</v>
      </c>
      <c r="D55" s="12" t="s">
        <v>39</v>
      </c>
      <c r="E55" s="12">
        <v>367</v>
      </c>
      <c r="F55" s="12">
        <v>38</v>
      </c>
      <c r="G55" s="12">
        <v>19</v>
      </c>
      <c r="H55" s="12">
        <v>16</v>
      </c>
      <c r="I55" s="12">
        <v>21</v>
      </c>
      <c r="J55" s="12">
        <v>1</v>
      </c>
      <c r="K55" s="12">
        <v>0</v>
      </c>
      <c r="L55" s="12">
        <v>1</v>
      </c>
      <c r="M55" s="12">
        <v>7</v>
      </c>
      <c r="N55" s="12">
        <v>5</v>
      </c>
      <c r="O55" s="12">
        <v>7</v>
      </c>
      <c r="P55" s="12">
        <v>0</v>
      </c>
      <c r="Q55" s="12">
        <v>7</v>
      </c>
      <c r="R55" s="12">
        <v>7.7</v>
      </c>
      <c r="S55" s="12">
        <v>0.28299999999999997</v>
      </c>
      <c r="T55" s="12">
        <v>20</v>
      </c>
      <c r="U55" s="12">
        <v>0</v>
      </c>
      <c r="V55" s="12">
        <v>462</v>
      </c>
      <c r="W55" s="12">
        <v>17</v>
      </c>
      <c r="X55" s="12">
        <v>0.5</v>
      </c>
      <c r="Y55" s="12">
        <v>0.42109999999999997</v>
      </c>
      <c r="Z55" s="12">
        <v>0.55259999999999998</v>
      </c>
      <c r="AA55" s="12">
        <v>1</v>
      </c>
      <c r="AB55" s="12">
        <v>0</v>
      </c>
      <c r="AC55" s="12">
        <v>7</v>
      </c>
      <c r="AD55" s="12">
        <v>5</v>
      </c>
      <c r="AE55" s="12">
        <v>0</v>
      </c>
      <c r="AF55" s="12">
        <v>0</v>
      </c>
      <c r="AG55" s="12">
        <v>25</v>
      </c>
    </row>
    <row r="56" spans="1:33" ht="15" x14ac:dyDescent="0.2">
      <c r="A56" s="12" t="s">
        <v>92</v>
      </c>
      <c r="B56" s="12" t="s">
        <v>30</v>
      </c>
      <c r="C56" s="12" t="s">
        <v>41</v>
      </c>
      <c r="D56" s="12" t="s">
        <v>39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1</v>
      </c>
      <c r="N56" s="12">
        <v>0</v>
      </c>
      <c r="O56" s="12">
        <v>1</v>
      </c>
      <c r="P56" s="12">
        <v>0</v>
      </c>
      <c r="Q56" s="12">
        <v>1</v>
      </c>
      <c r="R56" s="12">
        <v>0</v>
      </c>
      <c r="S56" s="12">
        <v>0</v>
      </c>
      <c r="T56" s="12">
        <v>15</v>
      </c>
      <c r="U56" s="12">
        <v>15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1</v>
      </c>
      <c r="AD56" s="12">
        <v>0</v>
      </c>
      <c r="AE56" s="12">
        <v>0</v>
      </c>
      <c r="AF56" s="12">
        <v>1</v>
      </c>
      <c r="AG56" s="12">
        <v>46</v>
      </c>
    </row>
    <row r="57" spans="1:33" ht="15" x14ac:dyDescent="0.2">
      <c r="A57" s="12" t="s">
        <v>93</v>
      </c>
      <c r="B57" s="12" t="s">
        <v>30</v>
      </c>
      <c r="C57" s="12" t="s">
        <v>41</v>
      </c>
      <c r="D57" s="12" t="s">
        <v>39</v>
      </c>
      <c r="E57" s="12">
        <v>397</v>
      </c>
      <c r="F57" s="12">
        <v>54</v>
      </c>
      <c r="G57" s="12">
        <v>36</v>
      </c>
      <c r="H57" s="12">
        <v>12</v>
      </c>
      <c r="I57" s="12">
        <v>36</v>
      </c>
      <c r="J57" s="12">
        <v>0</v>
      </c>
      <c r="K57" s="12">
        <v>0</v>
      </c>
      <c r="L57" s="12">
        <v>0</v>
      </c>
      <c r="M57" s="12">
        <v>2</v>
      </c>
      <c r="N57" s="12">
        <v>4</v>
      </c>
      <c r="O57" s="12">
        <v>6</v>
      </c>
      <c r="P57" s="12">
        <v>2</v>
      </c>
      <c r="Q57" s="12">
        <v>4</v>
      </c>
      <c r="R57" s="12">
        <v>7.73</v>
      </c>
      <c r="S57" s="12">
        <v>0.41499999999999998</v>
      </c>
      <c r="T57" s="12">
        <v>22</v>
      </c>
      <c r="U57" s="12">
        <v>2</v>
      </c>
      <c r="V57" s="12">
        <v>464</v>
      </c>
      <c r="W57" s="12">
        <v>25</v>
      </c>
      <c r="X57" s="12">
        <v>0.66669999999999996</v>
      </c>
      <c r="Y57" s="12">
        <v>0.22220000000000001</v>
      </c>
      <c r="Z57" s="12">
        <v>0.66669999999999996</v>
      </c>
      <c r="AA57" s="12">
        <v>0</v>
      </c>
      <c r="AB57" s="12">
        <v>0</v>
      </c>
      <c r="AC57" s="12">
        <v>2</v>
      </c>
      <c r="AD57" s="12">
        <v>4</v>
      </c>
      <c r="AE57" s="12">
        <v>0.33329999999999999</v>
      </c>
      <c r="AF57" s="12">
        <v>9.0899999999999995E-2</v>
      </c>
      <c r="AG57" s="12">
        <v>50</v>
      </c>
    </row>
    <row r="58" spans="1:33" ht="15" x14ac:dyDescent="0.2">
      <c r="A58" s="12" t="s">
        <v>94</v>
      </c>
      <c r="B58" s="12" t="s">
        <v>30</v>
      </c>
      <c r="C58" s="12" t="s">
        <v>41</v>
      </c>
      <c r="D58" s="12" t="s">
        <v>39</v>
      </c>
      <c r="E58" s="12">
        <v>109</v>
      </c>
      <c r="F58" s="12">
        <v>4</v>
      </c>
      <c r="G58" s="12">
        <v>2</v>
      </c>
      <c r="H58" s="12">
        <v>2</v>
      </c>
      <c r="I58" s="12">
        <v>2</v>
      </c>
      <c r="J58" s="12">
        <v>0</v>
      </c>
      <c r="K58" s="12">
        <v>0</v>
      </c>
      <c r="L58" s="12">
        <v>0</v>
      </c>
      <c r="M58" s="12">
        <v>2</v>
      </c>
      <c r="N58" s="12">
        <v>2</v>
      </c>
      <c r="O58" s="12">
        <v>2</v>
      </c>
      <c r="P58" s="12">
        <v>0</v>
      </c>
      <c r="Q58" s="12">
        <v>2</v>
      </c>
      <c r="R58" s="12">
        <v>11.31</v>
      </c>
      <c r="S58" s="12">
        <v>0.92300000000000004</v>
      </c>
      <c r="T58" s="12">
        <v>10</v>
      </c>
      <c r="U58" s="12">
        <v>8</v>
      </c>
      <c r="V58" s="12">
        <v>679</v>
      </c>
      <c r="W58" s="12">
        <v>55</v>
      </c>
      <c r="X58" s="12">
        <v>0.5</v>
      </c>
      <c r="Y58" s="12">
        <v>0.5</v>
      </c>
      <c r="Z58" s="12">
        <v>0.5</v>
      </c>
      <c r="AA58" s="12">
        <v>0</v>
      </c>
      <c r="AB58" s="12">
        <v>0</v>
      </c>
      <c r="AC58" s="12">
        <v>2</v>
      </c>
      <c r="AD58" s="12">
        <v>2</v>
      </c>
      <c r="AE58" s="12">
        <v>0</v>
      </c>
      <c r="AF58" s="12">
        <v>0.8</v>
      </c>
      <c r="AG58" s="12">
        <v>21</v>
      </c>
    </row>
    <row r="59" spans="1:33" ht="15" x14ac:dyDescent="0.2">
      <c r="A59" s="12" t="s">
        <v>95</v>
      </c>
      <c r="B59" s="12" t="s">
        <v>30</v>
      </c>
      <c r="C59" s="12" t="s">
        <v>38</v>
      </c>
      <c r="D59" s="12" t="s">
        <v>39</v>
      </c>
      <c r="E59" s="12">
        <v>312</v>
      </c>
      <c r="F59" s="12">
        <v>21</v>
      </c>
      <c r="G59" s="12">
        <v>11</v>
      </c>
      <c r="H59" s="12">
        <v>9</v>
      </c>
      <c r="I59" s="12">
        <v>9</v>
      </c>
      <c r="J59" s="12">
        <v>0</v>
      </c>
      <c r="K59" s="12">
        <v>0</v>
      </c>
      <c r="L59" s="12">
        <v>0</v>
      </c>
      <c r="M59" s="12">
        <v>3</v>
      </c>
      <c r="N59" s="12">
        <v>3</v>
      </c>
      <c r="O59" s="12">
        <v>4</v>
      </c>
      <c r="P59" s="12">
        <v>0</v>
      </c>
      <c r="Q59" s="12">
        <v>4</v>
      </c>
      <c r="R59" s="12">
        <v>5.39</v>
      </c>
      <c r="S59" s="12">
        <v>0.33900000000000002</v>
      </c>
      <c r="T59" s="12">
        <v>20</v>
      </c>
      <c r="U59" s="12">
        <v>2</v>
      </c>
      <c r="V59" s="12">
        <v>324</v>
      </c>
      <c r="W59" s="12">
        <v>20</v>
      </c>
      <c r="X59" s="12">
        <v>0.52380000000000004</v>
      </c>
      <c r="Y59" s="12">
        <v>0.42859999999999998</v>
      </c>
      <c r="Z59" s="12">
        <v>0.42859999999999998</v>
      </c>
      <c r="AA59" s="12">
        <v>0</v>
      </c>
      <c r="AB59" s="12">
        <v>0</v>
      </c>
      <c r="AC59" s="12">
        <v>3</v>
      </c>
      <c r="AD59" s="12">
        <v>3</v>
      </c>
      <c r="AE59" s="12">
        <v>0</v>
      </c>
      <c r="AF59" s="12">
        <v>0.1</v>
      </c>
      <c r="AG59" s="12">
        <v>25</v>
      </c>
    </row>
    <row r="60" spans="1:33" ht="15" x14ac:dyDescent="0.2">
      <c r="A60" s="12" t="s">
        <v>96</v>
      </c>
      <c r="B60" s="12" t="s">
        <v>30</v>
      </c>
      <c r="C60" s="12" t="s">
        <v>38</v>
      </c>
      <c r="D60" s="12" t="s">
        <v>39</v>
      </c>
      <c r="E60" s="12">
        <v>340</v>
      </c>
      <c r="F60" s="12">
        <v>61</v>
      </c>
      <c r="G60" s="12">
        <v>26</v>
      </c>
      <c r="H60" s="12">
        <v>27</v>
      </c>
      <c r="I60" s="12">
        <v>28</v>
      </c>
      <c r="J60" s="12">
        <v>0</v>
      </c>
      <c r="K60" s="12">
        <v>0</v>
      </c>
      <c r="L60" s="12">
        <v>0</v>
      </c>
      <c r="M60" s="12">
        <v>2</v>
      </c>
      <c r="N60" s="12">
        <v>5</v>
      </c>
      <c r="O60" s="12">
        <v>8</v>
      </c>
      <c r="P60" s="12">
        <v>3</v>
      </c>
      <c r="Q60" s="12">
        <v>5</v>
      </c>
      <c r="R60" s="12">
        <v>4.43</v>
      </c>
      <c r="S60" s="12">
        <v>0.247</v>
      </c>
      <c r="T60" s="12">
        <v>20</v>
      </c>
      <c r="U60" s="12">
        <v>0</v>
      </c>
      <c r="V60" s="12">
        <v>266</v>
      </c>
      <c r="W60" s="12">
        <v>15</v>
      </c>
      <c r="X60" s="12">
        <v>0.42620000000000002</v>
      </c>
      <c r="Y60" s="12">
        <v>0.44259999999999999</v>
      </c>
      <c r="Z60" s="12">
        <v>0.45900000000000002</v>
      </c>
      <c r="AA60" s="12">
        <v>0</v>
      </c>
      <c r="AB60" s="12">
        <v>0</v>
      </c>
      <c r="AC60" s="12">
        <v>2</v>
      </c>
      <c r="AD60" s="12">
        <v>5</v>
      </c>
      <c r="AE60" s="12">
        <v>0.375</v>
      </c>
      <c r="AF60" s="12">
        <v>0</v>
      </c>
      <c r="AG60" s="12">
        <v>25</v>
      </c>
    </row>
    <row r="61" spans="1:33" ht="15" x14ac:dyDescent="0.2">
      <c r="A61" s="12" t="s">
        <v>97</v>
      </c>
      <c r="B61" s="12" t="s">
        <v>30</v>
      </c>
      <c r="C61" s="12" t="s">
        <v>38</v>
      </c>
      <c r="D61" s="12" t="s">
        <v>39</v>
      </c>
      <c r="E61" s="12">
        <v>214</v>
      </c>
      <c r="F61" s="12">
        <v>27</v>
      </c>
      <c r="G61" s="12">
        <v>18</v>
      </c>
      <c r="H61" s="12">
        <v>8</v>
      </c>
      <c r="I61" s="12">
        <v>17</v>
      </c>
      <c r="J61" s="12">
        <v>0</v>
      </c>
      <c r="K61" s="12">
        <v>0</v>
      </c>
      <c r="L61" s="12">
        <v>0</v>
      </c>
      <c r="M61" s="12">
        <v>3</v>
      </c>
      <c r="N61" s="12">
        <v>2</v>
      </c>
      <c r="O61" s="12">
        <v>6</v>
      </c>
      <c r="P61" s="12">
        <v>3</v>
      </c>
      <c r="Q61" s="12">
        <v>3</v>
      </c>
      <c r="R61" s="12">
        <v>2.82</v>
      </c>
      <c r="S61" s="12">
        <v>0.107</v>
      </c>
      <c r="T61" s="12">
        <v>20</v>
      </c>
      <c r="U61" s="12">
        <v>1</v>
      </c>
      <c r="V61" s="12">
        <v>169</v>
      </c>
      <c r="W61" s="12">
        <v>6</v>
      </c>
      <c r="X61" s="12">
        <v>0.66669999999999996</v>
      </c>
      <c r="Y61" s="12">
        <v>0.29630000000000001</v>
      </c>
      <c r="Z61" s="12">
        <v>0.62960000000000005</v>
      </c>
      <c r="AA61" s="12">
        <v>0</v>
      </c>
      <c r="AB61" s="12">
        <v>0</v>
      </c>
      <c r="AC61" s="12">
        <v>3</v>
      </c>
      <c r="AD61" s="12">
        <v>2</v>
      </c>
      <c r="AE61" s="12">
        <v>0.5</v>
      </c>
      <c r="AF61" s="12">
        <v>0.05</v>
      </c>
      <c r="AG61" s="12">
        <v>50</v>
      </c>
    </row>
    <row r="62" spans="1:33" ht="15" x14ac:dyDescent="0.2">
      <c r="A62" s="12" t="s">
        <v>98</v>
      </c>
      <c r="B62" s="12" t="s">
        <v>30</v>
      </c>
      <c r="C62" s="12" t="s">
        <v>38</v>
      </c>
      <c r="D62" s="12" t="s">
        <v>39</v>
      </c>
      <c r="E62" s="12">
        <v>298</v>
      </c>
      <c r="F62" s="12">
        <v>20</v>
      </c>
      <c r="G62" s="12">
        <v>14</v>
      </c>
      <c r="H62" s="12">
        <v>3</v>
      </c>
      <c r="I62" s="12">
        <v>15</v>
      </c>
      <c r="J62" s="12">
        <v>0</v>
      </c>
      <c r="K62" s="12">
        <v>0</v>
      </c>
      <c r="L62" s="12">
        <v>0</v>
      </c>
      <c r="M62" s="12">
        <v>4</v>
      </c>
      <c r="N62" s="12">
        <v>3</v>
      </c>
      <c r="O62" s="12">
        <v>5</v>
      </c>
      <c r="P62" s="12">
        <v>1</v>
      </c>
      <c r="Q62" s="12">
        <v>4</v>
      </c>
      <c r="R62" s="12">
        <v>6.22</v>
      </c>
      <c r="S62" s="12">
        <v>0.28499999999999998</v>
      </c>
      <c r="T62" s="12">
        <v>20</v>
      </c>
      <c r="U62" s="12">
        <v>1</v>
      </c>
      <c r="V62" s="12">
        <v>373</v>
      </c>
      <c r="W62" s="12">
        <v>17</v>
      </c>
      <c r="X62" s="12">
        <v>0.7</v>
      </c>
      <c r="Y62" s="12">
        <v>0.15</v>
      </c>
      <c r="Z62" s="12">
        <v>0.75</v>
      </c>
      <c r="AA62" s="12">
        <v>0</v>
      </c>
      <c r="AB62" s="12">
        <v>0</v>
      </c>
      <c r="AC62" s="12">
        <v>4</v>
      </c>
      <c r="AD62" s="12">
        <v>3</v>
      </c>
      <c r="AE62" s="12">
        <v>0.2</v>
      </c>
      <c r="AF62" s="12">
        <v>0.05</v>
      </c>
      <c r="AG62" s="12">
        <v>57</v>
      </c>
    </row>
    <row r="63" spans="1:33" ht="15" x14ac:dyDescent="0.2">
      <c r="A63" s="12" t="s">
        <v>99</v>
      </c>
      <c r="B63" s="12" t="s">
        <v>30</v>
      </c>
      <c r="C63" s="12" t="s">
        <v>100</v>
      </c>
      <c r="D63" s="12" t="s">
        <v>39</v>
      </c>
      <c r="E63" s="12">
        <v>306</v>
      </c>
      <c r="F63" s="12">
        <v>31</v>
      </c>
      <c r="G63" s="12">
        <v>19</v>
      </c>
      <c r="H63" s="12">
        <v>10</v>
      </c>
      <c r="I63" s="12">
        <v>22</v>
      </c>
      <c r="J63" s="12">
        <v>0</v>
      </c>
      <c r="K63" s="12">
        <v>0</v>
      </c>
      <c r="L63" s="12">
        <v>0</v>
      </c>
      <c r="M63" s="12">
        <v>4</v>
      </c>
      <c r="N63" s="12">
        <v>2</v>
      </c>
      <c r="O63" s="12">
        <v>4</v>
      </c>
      <c r="P63" s="12">
        <v>0</v>
      </c>
      <c r="Q63" s="12">
        <v>4</v>
      </c>
      <c r="R63" s="12">
        <v>13.66</v>
      </c>
      <c r="S63" s="12">
        <v>0.54</v>
      </c>
      <c r="T63" s="12">
        <v>21</v>
      </c>
      <c r="U63" s="12">
        <v>5</v>
      </c>
      <c r="V63" s="12">
        <v>820</v>
      </c>
      <c r="W63" s="12">
        <v>32</v>
      </c>
      <c r="X63" s="12">
        <v>0.6129</v>
      </c>
      <c r="Y63" s="12">
        <v>0.3226</v>
      </c>
      <c r="Z63" s="12">
        <v>0.7097</v>
      </c>
      <c r="AA63" s="12">
        <v>0</v>
      </c>
      <c r="AB63" s="12">
        <v>0</v>
      </c>
      <c r="AC63" s="12">
        <v>4</v>
      </c>
      <c r="AD63" s="12">
        <v>2</v>
      </c>
      <c r="AE63" s="12">
        <v>0</v>
      </c>
      <c r="AF63" s="12">
        <v>0.23810000000000001</v>
      </c>
      <c r="AG63" s="12">
        <v>22</v>
      </c>
    </row>
    <row r="64" spans="1:33" ht="15" x14ac:dyDescent="0.2">
      <c r="A64" s="12" t="s">
        <v>101</v>
      </c>
      <c r="B64" s="12" t="s">
        <v>30</v>
      </c>
      <c r="C64" s="12" t="s">
        <v>100</v>
      </c>
      <c r="D64" s="12" t="s">
        <v>39</v>
      </c>
      <c r="E64" s="12">
        <v>205</v>
      </c>
      <c r="F64" s="12">
        <v>22</v>
      </c>
      <c r="G64" s="12">
        <v>13</v>
      </c>
      <c r="H64" s="12">
        <v>9</v>
      </c>
      <c r="I64" s="12">
        <v>13</v>
      </c>
      <c r="J64" s="12">
        <v>0</v>
      </c>
      <c r="K64" s="12">
        <v>0</v>
      </c>
      <c r="L64" s="12">
        <v>0</v>
      </c>
      <c r="M64" s="12">
        <v>1</v>
      </c>
      <c r="N64" s="12">
        <v>1</v>
      </c>
      <c r="O64" s="12">
        <v>4</v>
      </c>
      <c r="P64" s="12">
        <v>2</v>
      </c>
      <c r="Q64" s="12">
        <v>2</v>
      </c>
      <c r="R64" s="12">
        <v>14.05</v>
      </c>
      <c r="S64" s="12">
        <v>0.84499999999999997</v>
      </c>
      <c r="T64" s="12">
        <v>21</v>
      </c>
      <c r="U64" s="12">
        <v>11</v>
      </c>
      <c r="V64" s="12">
        <v>843</v>
      </c>
      <c r="W64" s="12">
        <v>51</v>
      </c>
      <c r="X64" s="12">
        <v>0.59089999999999998</v>
      </c>
      <c r="Y64" s="12">
        <v>0.40910000000000002</v>
      </c>
      <c r="Z64" s="12">
        <v>0.59089999999999998</v>
      </c>
      <c r="AA64" s="12">
        <v>0</v>
      </c>
      <c r="AB64" s="12">
        <v>0</v>
      </c>
      <c r="AC64" s="12">
        <v>1</v>
      </c>
      <c r="AD64" s="12">
        <v>1</v>
      </c>
      <c r="AE64" s="12">
        <v>0.5</v>
      </c>
      <c r="AF64" s="12">
        <v>0.52380000000000004</v>
      </c>
      <c r="AG64" s="12">
        <v>16</v>
      </c>
    </row>
    <row r="65" spans="1:33" ht="15" x14ac:dyDescent="0.2">
      <c r="A65" s="12" t="s">
        <v>102</v>
      </c>
      <c r="B65" s="12" t="s">
        <v>30</v>
      </c>
      <c r="C65" s="12" t="s">
        <v>100</v>
      </c>
      <c r="D65" s="12" t="s">
        <v>39</v>
      </c>
      <c r="E65" s="12">
        <v>498</v>
      </c>
      <c r="F65" s="12">
        <v>57</v>
      </c>
      <c r="G65" s="12">
        <v>39</v>
      </c>
      <c r="H65" s="12">
        <v>15</v>
      </c>
      <c r="I65" s="12">
        <v>36</v>
      </c>
      <c r="J65" s="12">
        <v>0</v>
      </c>
      <c r="K65" s="12">
        <v>0</v>
      </c>
      <c r="L65" s="12">
        <v>0</v>
      </c>
      <c r="M65" s="12">
        <v>5</v>
      </c>
      <c r="N65" s="12">
        <v>5</v>
      </c>
      <c r="O65" s="12">
        <v>6</v>
      </c>
      <c r="P65" s="12">
        <v>0</v>
      </c>
      <c r="Q65" s="12">
        <v>6</v>
      </c>
      <c r="R65" s="12">
        <v>4.8099999999999996</v>
      </c>
      <c r="S65" s="12">
        <v>0.27600000000000002</v>
      </c>
      <c r="T65" s="12">
        <v>21</v>
      </c>
      <c r="U65" s="12">
        <v>0</v>
      </c>
      <c r="V65" s="12">
        <v>289</v>
      </c>
      <c r="W65" s="12">
        <v>17</v>
      </c>
      <c r="X65" s="12">
        <v>0.68420000000000003</v>
      </c>
      <c r="Y65" s="12">
        <v>0.26319999999999999</v>
      </c>
      <c r="Z65" s="12">
        <v>0.63160000000000005</v>
      </c>
      <c r="AA65" s="12">
        <v>0</v>
      </c>
      <c r="AB65" s="12">
        <v>0</v>
      </c>
      <c r="AC65" s="12">
        <v>5</v>
      </c>
      <c r="AD65" s="12">
        <v>5</v>
      </c>
      <c r="AE65" s="12">
        <v>0</v>
      </c>
      <c r="AF65" s="12">
        <v>0</v>
      </c>
      <c r="AG65" s="12">
        <v>50</v>
      </c>
    </row>
    <row r="66" spans="1:33" ht="15" x14ac:dyDescent="0.2">
      <c r="A66" s="12" t="s">
        <v>103</v>
      </c>
      <c r="B66" s="12" t="s">
        <v>30</v>
      </c>
      <c r="C66" s="12" t="s">
        <v>31</v>
      </c>
      <c r="D66" s="12" t="s">
        <v>32</v>
      </c>
      <c r="E66" s="12">
        <v>445</v>
      </c>
      <c r="F66" s="12">
        <v>67</v>
      </c>
      <c r="G66" s="12">
        <v>40</v>
      </c>
      <c r="H66" s="12">
        <v>22</v>
      </c>
      <c r="I66" s="12">
        <v>42</v>
      </c>
      <c r="J66" s="12">
        <v>0</v>
      </c>
      <c r="K66" s="12">
        <v>0</v>
      </c>
      <c r="L66" s="12">
        <v>0</v>
      </c>
      <c r="M66" s="12">
        <v>5</v>
      </c>
      <c r="N66" s="12">
        <v>6</v>
      </c>
      <c r="O66" s="12">
        <v>7</v>
      </c>
      <c r="P66" s="12">
        <v>0</v>
      </c>
      <c r="Q66" s="12">
        <v>7</v>
      </c>
      <c r="R66" s="12">
        <v>6.31</v>
      </c>
      <c r="S66" s="12">
        <v>0.315</v>
      </c>
      <c r="T66" s="12">
        <v>21</v>
      </c>
      <c r="U66" s="12">
        <v>0</v>
      </c>
      <c r="V66" s="12">
        <v>379</v>
      </c>
      <c r="W66" s="12">
        <v>19</v>
      </c>
      <c r="X66" s="12">
        <v>0.59699999999999998</v>
      </c>
      <c r="Y66" s="12">
        <v>0.32840000000000003</v>
      </c>
      <c r="Z66" s="12">
        <v>0.62690000000000001</v>
      </c>
      <c r="AA66" s="12">
        <v>0</v>
      </c>
      <c r="AB66" s="12">
        <v>0</v>
      </c>
      <c r="AC66" s="12">
        <v>5</v>
      </c>
      <c r="AD66" s="12">
        <v>6</v>
      </c>
      <c r="AE66" s="12">
        <v>0</v>
      </c>
      <c r="AF66" s="12">
        <v>0</v>
      </c>
      <c r="AG66" s="12">
        <v>30</v>
      </c>
    </row>
    <row r="67" spans="1:33" ht="15" x14ac:dyDescent="0.2">
      <c r="A67" s="12" t="s">
        <v>104</v>
      </c>
      <c r="B67" s="12" t="s">
        <v>30</v>
      </c>
      <c r="C67" s="12" t="s">
        <v>100</v>
      </c>
      <c r="D67" s="12" t="s">
        <v>39</v>
      </c>
      <c r="E67" s="12">
        <v>419</v>
      </c>
      <c r="F67" s="12">
        <v>60</v>
      </c>
      <c r="G67" s="12">
        <v>34</v>
      </c>
      <c r="H67" s="12">
        <v>19</v>
      </c>
      <c r="I67" s="12">
        <v>33</v>
      </c>
      <c r="J67" s="12">
        <v>0</v>
      </c>
      <c r="K67" s="12">
        <v>0</v>
      </c>
      <c r="L67" s="12">
        <v>0</v>
      </c>
      <c r="M67" s="12">
        <v>5</v>
      </c>
      <c r="N67" s="12">
        <v>3</v>
      </c>
      <c r="O67" s="12">
        <v>5</v>
      </c>
      <c r="P67" s="12">
        <v>0</v>
      </c>
      <c r="Q67" s="12">
        <v>5</v>
      </c>
      <c r="R67" s="12">
        <v>6.09</v>
      </c>
      <c r="S67" s="12">
        <v>0.25900000000000001</v>
      </c>
      <c r="T67" s="12">
        <v>21</v>
      </c>
      <c r="U67" s="12">
        <v>1</v>
      </c>
      <c r="V67" s="12">
        <v>366</v>
      </c>
      <c r="W67" s="12">
        <v>16</v>
      </c>
      <c r="X67" s="12">
        <v>0.56669999999999998</v>
      </c>
      <c r="Y67" s="12">
        <v>0.31669999999999998</v>
      </c>
      <c r="Z67" s="12">
        <v>0.55000000000000004</v>
      </c>
      <c r="AA67" s="12">
        <v>0</v>
      </c>
      <c r="AB67" s="12">
        <v>0</v>
      </c>
      <c r="AC67" s="12">
        <v>5</v>
      </c>
      <c r="AD67" s="12">
        <v>3</v>
      </c>
      <c r="AE67" s="12">
        <v>0</v>
      </c>
      <c r="AF67" s="12">
        <v>4.7600000000000003E-2</v>
      </c>
      <c r="AG67" s="12">
        <v>25</v>
      </c>
    </row>
    <row r="68" spans="1:33" ht="15" x14ac:dyDescent="0.2">
      <c r="A68" s="12" t="s">
        <v>105</v>
      </c>
      <c r="B68" s="12" t="s">
        <v>30</v>
      </c>
      <c r="C68" s="12" t="s">
        <v>61</v>
      </c>
      <c r="D68" s="12" t="s">
        <v>32</v>
      </c>
      <c r="E68" s="12">
        <v>411</v>
      </c>
      <c r="F68" s="12">
        <v>54</v>
      </c>
      <c r="G68" s="12">
        <v>26</v>
      </c>
      <c r="H68" s="12">
        <v>25</v>
      </c>
      <c r="I68" s="12">
        <v>26</v>
      </c>
      <c r="J68" s="12">
        <v>0</v>
      </c>
      <c r="K68" s="12">
        <v>0</v>
      </c>
      <c r="L68" s="12">
        <v>0</v>
      </c>
      <c r="M68" s="12">
        <v>3</v>
      </c>
      <c r="N68" s="12">
        <v>3</v>
      </c>
      <c r="O68" s="12">
        <v>4</v>
      </c>
      <c r="P68" s="12">
        <v>1</v>
      </c>
      <c r="Q68" s="12">
        <v>3</v>
      </c>
      <c r="R68" s="12">
        <v>4.57</v>
      </c>
      <c r="S68" s="12">
        <v>0.33100000000000002</v>
      </c>
      <c r="T68" s="12">
        <v>21</v>
      </c>
      <c r="U68" s="12">
        <v>1</v>
      </c>
      <c r="V68" s="12">
        <v>274</v>
      </c>
      <c r="W68" s="12">
        <v>20</v>
      </c>
      <c r="X68" s="12">
        <v>0.48149999999999998</v>
      </c>
      <c r="Y68" s="12">
        <v>0.46300000000000002</v>
      </c>
      <c r="Z68" s="12">
        <v>0.48149999999999998</v>
      </c>
      <c r="AA68" s="12">
        <v>0</v>
      </c>
      <c r="AB68" s="12">
        <v>0</v>
      </c>
      <c r="AC68" s="12">
        <v>3</v>
      </c>
      <c r="AD68" s="12">
        <v>3</v>
      </c>
      <c r="AE68" s="12">
        <v>0.25</v>
      </c>
      <c r="AF68" s="12">
        <v>4.7600000000000003E-2</v>
      </c>
      <c r="AG68" s="12">
        <v>25</v>
      </c>
    </row>
    <row r="69" spans="1:33" ht="15" x14ac:dyDescent="0.2">
      <c r="A69" s="12" t="s">
        <v>106</v>
      </c>
      <c r="B69" s="12" t="s">
        <v>30</v>
      </c>
      <c r="C69" s="12" t="s">
        <v>100</v>
      </c>
      <c r="D69" s="12" t="s">
        <v>39</v>
      </c>
      <c r="E69" s="12">
        <v>385</v>
      </c>
      <c r="F69" s="12">
        <v>65</v>
      </c>
      <c r="G69" s="12">
        <v>41</v>
      </c>
      <c r="H69" s="12">
        <v>18</v>
      </c>
      <c r="I69" s="12">
        <v>41</v>
      </c>
      <c r="J69" s="12">
        <v>0</v>
      </c>
      <c r="K69" s="12">
        <v>0</v>
      </c>
      <c r="L69" s="12">
        <v>0</v>
      </c>
      <c r="M69" s="12">
        <v>4</v>
      </c>
      <c r="N69" s="12">
        <v>4</v>
      </c>
      <c r="O69" s="12">
        <v>5</v>
      </c>
      <c r="P69" s="12">
        <v>1</v>
      </c>
      <c r="Q69" s="12">
        <v>4</v>
      </c>
      <c r="R69" s="12">
        <v>3.83</v>
      </c>
      <c r="S69" s="12">
        <v>0.19800000000000001</v>
      </c>
      <c r="T69" s="12">
        <v>21</v>
      </c>
      <c r="U69" s="12">
        <v>3</v>
      </c>
      <c r="V69" s="12">
        <v>230</v>
      </c>
      <c r="W69" s="12">
        <v>12</v>
      </c>
      <c r="X69" s="12">
        <v>0.63080000000000003</v>
      </c>
      <c r="Y69" s="12">
        <v>0.27689999999999998</v>
      </c>
      <c r="Z69" s="12">
        <v>0.63080000000000003</v>
      </c>
      <c r="AA69" s="12">
        <v>0</v>
      </c>
      <c r="AB69" s="12">
        <v>0</v>
      </c>
      <c r="AC69" s="12">
        <v>4</v>
      </c>
      <c r="AD69" s="12">
        <v>4</v>
      </c>
      <c r="AE69" s="12">
        <v>0.2</v>
      </c>
      <c r="AF69" s="12">
        <v>0.1429</v>
      </c>
      <c r="AG69" s="12">
        <v>45</v>
      </c>
    </row>
    <row r="70" spans="1:33" ht="15" x14ac:dyDescent="0.2">
      <c r="A70" s="12" t="s">
        <v>107</v>
      </c>
      <c r="B70" s="12" t="s">
        <v>30</v>
      </c>
      <c r="C70" s="12" t="s">
        <v>100</v>
      </c>
      <c r="D70" s="12" t="s">
        <v>39</v>
      </c>
      <c r="E70" s="12">
        <v>449</v>
      </c>
      <c r="F70" s="12">
        <v>41</v>
      </c>
      <c r="G70" s="12">
        <v>27</v>
      </c>
      <c r="H70" s="12">
        <v>13</v>
      </c>
      <c r="I70" s="12">
        <v>26</v>
      </c>
      <c r="J70" s="12">
        <v>0</v>
      </c>
      <c r="K70" s="12">
        <v>0</v>
      </c>
      <c r="L70" s="12">
        <v>0</v>
      </c>
      <c r="M70" s="12">
        <v>0</v>
      </c>
      <c r="N70" s="12">
        <v>2</v>
      </c>
      <c r="O70" s="12">
        <v>3</v>
      </c>
      <c r="P70" s="12">
        <v>1</v>
      </c>
      <c r="Q70" s="12">
        <v>2</v>
      </c>
      <c r="R70" s="12">
        <v>6.54</v>
      </c>
      <c r="S70" s="12">
        <v>0.24199999999999999</v>
      </c>
      <c r="T70" s="12">
        <v>21</v>
      </c>
      <c r="U70" s="12">
        <v>1</v>
      </c>
      <c r="V70" s="12">
        <v>392</v>
      </c>
      <c r="W70" s="12">
        <v>14</v>
      </c>
      <c r="X70" s="12">
        <v>0.65849999999999997</v>
      </c>
      <c r="Y70" s="12">
        <v>0.31709999999999999</v>
      </c>
      <c r="Z70" s="12">
        <v>0.6341</v>
      </c>
      <c r="AA70" s="12">
        <v>0</v>
      </c>
      <c r="AB70" s="12">
        <v>0</v>
      </c>
      <c r="AC70" s="12">
        <v>0</v>
      </c>
      <c r="AD70" s="12">
        <v>2</v>
      </c>
      <c r="AE70" s="12">
        <v>0.33329999999999999</v>
      </c>
      <c r="AF70" s="12">
        <v>4.7600000000000003E-2</v>
      </c>
      <c r="AG70" s="12">
        <v>65</v>
      </c>
    </row>
    <row r="71" spans="1:33" ht="15" x14ac:dyDescent="0.2">
      <c r="A71" s="12" t="s">
        <v>108</v>
      </c>
      <c r="B71" s="12" t="s">
        <v>30</v>
      </c>
      <c r="C71" s="12" t="s">
        <v>100</v>
      </c>
      <c r="D71" s="12" t="s">
        <v>39</v>
      </c>
      <c r="E71" s="12">
        <v>372</v>
      </c>
      <c r="F71" s="12">
        <v>26</v>
      </c>
      <c r="G71" s="12">
        <v>19</v>
      </c>
      <c r="H71" s="12">
        <v>5</v>
      </c>
      <c r="I71" s="12">
        <v>15</v>
      </c>
      <c r="J71" s="12">
        <v>0</v>
      </c>
      <c r="K71" s="12">
        <v>0</v>
      </c>
      <c r="L71" s="12">
        <v>0</v>
      </c>
      <c r="M71" s="12">
        <v>5</v>
      </c>
      <c r="N71" s="12">
        <v>1</v>
      </c>
      <c r="O71" s="12">
        <v>5</v>
      </c>
      <c r="P71" s="12">
        <v>0</v>
      </c>
      <c r="Q71" s="12">
        <v>5</v>
      </c>
      <c r="R71" s="12">
        <v>9.09</v>
      </c>
      <c r="S71" s="12">
        <v>0.36099999999999999</v>
      </c>
      <c r="T71" s="12">
        <v>21</v>
      </c>
      <c r="U71" s="12">
        <v>2</v>
      </c>
      <c r="V71" s="12">
        <v>545</v>
      </c>
      <c r="W71" s="12">
        <v>22</v>
      </c>
      <c r="X71" s="12">
        <v>0.73080000000000001</v>
      </c>
      <c r="Y71" s="12">
        <v>0.1923</v>
      </c>
      <c r="Z71" s="12">
        <v>0.57689999999999997</v>
      </c>
      <c r="AA71" s="12">
        <v>0</v>
      </c>
      <c r="AB71" s="12">
        <v>0</v>
      </c>
      <c r="AC71" s="12">
        <v>5</v>
      </c>
      <c r="AD71" s="12">
        <v>1</v>
      </c>
      <c r="AE71" s="12">
        <v>0</v>
      </c>
      <c r="AF71" s="12">
        <v>9.5200000000000007E-2</v>
      </c>
      <c r="AG71" s="12">
        <v>50</v>
      </c>
    </row>
    <row r="72" spans="1:33" ht="15" x14ac:dyDescent="0.2">
      <c r="A72" s="12" t="s">
        <v>109</v>
      </c>
      <c r="B72" s="12" t="s">
        <v>30</v>
      </c>
      <c r="C72" s="12" t="s">
        <v>100</v>
      </c>
      <c r="D72" s="12" t="s">
        <v>39</v>
      </c>
      <c r="E72" s="12">
        <v>321</v>
      </c>
      <c r="F72" s="12">
        <v>42</v>
      </c>
      <c r="G72" s="12">
        <v>18</v>
      </c>
      <c r="H72" s="12">
        <v>20</v>
      </c>
      <c r="I72" s="12">
        <v>16</v>
      </c>
      <c r="J72" s="12">
        <v>0</v>
      </c>
      <c r="K72" s="12">
        <v>0</v>
      </c>
      <c r="L72" s="12">
        <v>0</v>
      </c>
      <c r="M72" s="12">
        <v>5</v>
      </c>
      <c r="N72" s="12">
        <v>5</v>
      </c>
      <c r="O72" s="12">
        <v>7</v>
      </c>
      <c r="P72" s="12">
        <v>1</v>
      </c>
      <c r="Q72" s="12">
        <v>6</v>
      </c>
      <c r="R72" s="12">
        <v>3.24</v>
      </c>
      <c r="S72" s="12">
        <v>0.22700000000000001</v>
      </c>
      <c r="T72" s="12">
        <v>19</v>
      </c>
      <c r="U72" s="12">
        <v>5</v>
      </c>
      <c r="V72" s="12">
        <v>195</v>
      </c>
      <c r="W72" s="12">
        <v>14</v>
      </c>
      <c r="X72" s="12">
        <v>0.42859999999999998</v>
      </c>
      <c r="Y72" s="12">
        <v>0.47620000000000001</v>
      </c>
      <c r="Z72" s="12">
        <v>0.38100000000000001</v>
      </c>
      <c r="AA72" s="12">
        <v>0</v>
      </c>
      <c r="AB72" s="12">
        <v>0</v>
      </c>
      <c r="AC72" s="12">
        <v>5</v>
      </c>
      <c r="AD72" s="12">
        <v>5</v>
      </c>
      <c r="AE72" s="12">
        <v>0.1429</v>
      </c>
      <c r="AF72" s="12">
        <v>0.26319999999999999</v>
      </c>
      <c r="AG72" s="12">
        <v>25</v>
      </c>
    </row>
    <row r="73" spans="1:33" ht="15" x14ac:dyDescent="0.2">
      <c r="A73" s="12" t="s">
        <v>110</v>
      </c>
      <c r="B73" s="12" t="s">
        <v>30</v>
      </c>
      <c r="C73" s="12" t="s">
        <v>31</v>
      </c>
      <c r="D73" s="12" t="s">
        <v>32</v>
      </c>
      <c r="E73" s="12">
        <v>459</v>
      </c>
      <c r="F73" s="12">
        <v>61</v>
      </c>
      <c r="G73" s="12">
        <v>34</v>
      </c>
      <c r="H73" s="12">
        <v>24</v>
      </c>
      <c r="I73" s="12">
        <v>33</v>
      </c>
      <c r="J73" s="12">
        <v>0</v>
      </c>
      <c r="K73" s="12">
        <v>0</v>
      </c>
      <c r="L73" s="12">
        <v>0</v>
      </c>
      <c r="M73" s="12">
        <v>3</v>
      </c>
      <c r="N73" s="12">
        <v>2</v>
      </c>
      <c r="O73" s="12">
        <v>5</v>
      </c>
      <c r="P73" s="12">
        <v>1</v>
      </c>
      <c r="Q73" s="12">
        <v>4</v>
      </c>
      <c r="R73" s="12">
        <v>5.35</v>
      </c>
      <c r="S73" s="12">
        <v>0.245</v>
      </c>
      <c r="T73" s="12">
        <v>21</v>
      </c>
      <c r="U73" s="12">
        <v>1</v>
      </c>
      <c r="V73" s="12">
        <v>321</v>
      </c>
      <c r="W73" s="12">
        <v>15</v>
      </c>
      <c r="X73" s="12">
        <v>0.55740000000000001</v>
      </c>
      <c r="Y73" s="12">
        <v>0.39340000000000003</v>
      </c>
      <c r="Z73" s="12">
        <v>0.54100000000000004</v>
      </c>
      <c r="AA73" s="12">
        <v>0</v>
      </c>
      <c r="AB73" s="12">
        <v>0</v>
      </c>
      <c r="AC73" s="12">
        <v>3</v>
      </c>
      <c r="AD73" s="12">
        <v>2</v>
      </c>
      <c r="AE73" s="12">
        <v>0.2</v>
      </c>
      <c r="AF73" s="12">
        <v>4.7600000000000003E-2</v>
      </c>
      <c r="AG73" s="12">
        <v>25</v>
      </c>
    </row>
    <row r="74" spans="1:33" ht="15" x14ac:dyDescent="0.2">
      <c r="A74" s="12" t="s">
        <v>111</v>
      </c>
      <c r="B74" s="12" t="s">
        <v>30</v>
      </c>
      <c r="C74" s="12" t="s">
        <v>47</v>
      </c>
      <c r="D74" s="12" t="s">
        <v>32</v>
      </c>
      <c r="E74" s="12">
        <v>386</v>
      </c>
      <c r="F74" s="12">
        <v>57</v>
      </c>
      <c r="G74" s="12">
        <v>39</v>
      </c>
      <c r="H74" s="12">
        <v>15</v>
      </c>
      <c r="I74" s="12">
        <v>39</v>
      </c>
      <c r="J74" s="12">
        <v>0</v>
      </c>
      <c r="K74" s="12">
        <v>0</v>
      </c>
      <c r="L74" s="12">
        <v>0</v>
      </c>
      <c r="M74" s="12">
        <v>2</v>
      </c>
      <c r="N74" s="12">
        <v>4</v>
      </c>
      <c r="O74" s="12">
        <v>5</v>
      </c>
      <c r="P74" s="12">
        <v>1</v>
      </c>
      <c r="Q74" s="12">
        <v>4</v>
      </c>
      <c r="R74" s="12">
        <v>10.08</v>
      </c>
      <c r="S74" s="12">
        <v>0.53900000000000003</v>
      </c>
      <c r="T74" s="12">
        <v>21</v>
      </c>
      <c r="U74" s="12">
        <v>3</v>
      </c>
      <c r="V74" s="12">
        <v>605</v>
      </c>
      <c r="W74" s="12">
        <v>32</v>
      </c>
      <c r="X74" s="12">
        <v>0.68420000000000003</v>
      </c>
      <c r="Y74" s="12">
        <v>0.26319999999999999</v>
      </c>
      <c r="Z74" s="12">
        <v>0.68420000000000003</v>
      </c>
      <c r="AA74" s="12">
        <v>0</v>
      </c>
      <c r="AB74" s="12">
        <v>0</v>
      </c>
      <c r="AC74" s="12">
        <v>2</v>
      </c>
      <c r="AD74" s="12">
        <v>4</v>
      </c>
      <c r="AE74" s="12">
        <v>0.2</v>
      </c>
      <c r="AF74" s="12">
        <v>0.1429</v>
      </c>
      <c r="AG74" s="12">
        <v>40</v>
      </c>
    </row>
    <row r="75" spans="1:33" ht="15" x14ac:dyDescent="0.2">
      <c r="A75" s="12" t="s">
        <v>112</v>
      </c>
      <c r="B75" s="12" t="s">
        <v>30</v>
      </c>
      <c r="C75" s="12" t="s">
        <v>41</v>
      </c>
      <c r="D75" s="12" t="s">
        <v>39</v>
      </c>
      <c r="E75" s="12">
        <v>489</v>
      </c>
      <c r="F75" s="12">
        <v>52</v>
      </c>
      <c r="G75" s="12">
        <v>28</v>
      </c>
      <c r="H75" s="12">
        <v>22</v>
      </c>
      <c r="I75" s="12">
        <v>26</v>
      </c>
      <c r="J75" s="12">
        <v>0</v>
      </c>
      <c r="K75" s="12">
        <v>0</v>
      </c>
      <c r="L75" s="12">
        <v>0</v>
      </c>
      <c r="M75" s="12">
        <v>4</v>
      </c>
      <c r="N75" s="12">
        <v>4</v>
      </c>
      <c r="O75" s="12">
        <v>5</v>
      </c>
      <c r="P75" s="12">
        <v>1</v>
      </c>
      <c r="Q75" s="12">
        <v>4</v>
      </c>
      <c r="R75" s="12">
        <v>9.7200000000000006</v>
      </c>
      <c r="S75" s="12">
        <v>0.45200000000000001</v>
      </c>
      <c r="T75" s="12">
        <v>22</v>
      </c>
      <c r="U75" s="12">
        <v>0</v>
      </c>
      <c r="V75" s="12">
        <v>583</v>
      </c>
      <c r="W75" s="12">
        <v>27</v>
      </c>
      <c r="X75" s="12">
        <v>0.53849999999999998</v>
      </c>
      <c r="Y75" s="12">
        <v>0.42309999999999998</v>
      </c>
      <c r="Z75" s="12">
        <v>0.5</v>
      </c>
      <c r="AA75" s="12">
        <v>0</v>
      </c>
      <c r="AB75" s="12">
        <v>0</v>
      </c>
      <c r="AC75" s="12">
        <v>4</v>
      </c>
      <c r="AD75" s="12">
        <v>4</v>
      </c>
      <c r="AE75" s="12">
        <v>0.2</v>
      </c>
      <c r="AF75" s="12">
        <v>0</v>
      </c>
      <c r="AG75" s="12">
        <v>25</v>
      </c>
    </row>
    <row r="76" spans="1:33" ht="15" x14ac:dyDescent="0.2">
      <c r="A76" s="12" t="s">
        <v>113</v>
      </c>
      <c r="B76" s="12" t="s">
        <v>30</v>
      </c>
      <c r="C76" s="12" t="s">
        <v>47</v>
      </c>
      <c r="D76" s="12" t="s">
        <v>32</v>
      </c>
      <c r="E76" s="12">
        <v>433</v>
      </c>
      <c r="F76" s="12">
        <v>63</v>
      </c>
      <c r="G76" s="12">
        <v>42</v>
      </c>
      <c r="H76" s="12">
        <v>17</v>
      </c>
      <c r="I76" s="12">
        <v>40</v>
      </c>
      <c r="J76" s="12">
        <v>0</v>
      </c>
      <c r="K76" s="12">
        <v>0</v>
      </c>
      <c r="L76" s="12">
        <v>0</v>
      </c>
      <c r="M76" s="12">
        <v>6</v>
      </c>
      <c r="N76" s="12">
        <v>2</v>
      </c>
      <c r="O76" s="12">
        <v>7</v>
      </c>
      <c r="P76" s="12">
        <v>1</v>
      </c>
      <c r="Q76" s="12">
        <v>6</v>
      </c>
      <c r="R76" s="12">
        <v>5.99</v>
      </c>
      <c r="S76" s="12">
        <v>0.32300000000000001</v>
      </c>
      <c r="T76" s="12">
        <v>20</v>
      </c>
      <c r="U76" s="12">
        <v>1</v>
      </c>
      <c r="V76" s="12">
        <v>359</v>
      </c>
      <c r="W76" s="12">
        <v>19</v>
      </c>
      <c r="X76" s="12">
        <v>0.66669999999999996</v>
      </c>
      <c r="Y76" s="12">
        <v>0.26979999999999998</v>
      </c>
      <c r="Z76" s="12">
        <v>0.63490000000000002</v>
      </c>
      <c r="AA76" s="12">
        <v>0</v>
      </c>
      <c r="AB76" s="12">
        <v>0</v>
      </c>
      <c r="AC76" s="12">
        <v>6</v>
      </c>
      <c r="AD76" s="12">
        <v>2</v>
      </c>
      <c r="AE76" s="12">
        <v>0.1429</v>
      </c>
      <c r="AF76" s="12">
        <v>0.05</v>
      </c>
      <c r="AG76" s="12">
        <v>50</v>
      </c>
    </row>
    <row r="77" spans="1:33" ht="15" x14ac:dyDescent="0.2">
      <c r="A77" s="12" t="s">
        <v>114</v>
      </c>
      <c r="B77" s="12" t="s">
        <v>30</v>
      </c>
      <c r="C77" s="12" t="s">
        <v>41</v>
      </c>
      <c r="D77" s="12" t="s">
        <v>39</v>
      </c>
      <c r="E77" s="12">
        <v>410</v>
      </c>
      <c r="F77" s="12">
        <v>55</v>
      </c>
      <c r="G77" s="12">
        <v>40</v>
      </c>
      <c r="H77" s="12">
        <v>13</v>
      </c>
      <c r="I77" s="12">
        <v>37</v>
      </c>
      <c r="J77" s="12">
        <v>0</v>
      </c>
      <c r="K77" s="12">
        <v>0</v>
      </c>
      <c r="L77" s="12">
        <v>0</v>
      </c>
      <c r="M77" s="12">
        <v>5</v>
      </c>
      <c r="N77" s="12">
        <v>4</v>
      </c>
      <c r="O77" s="12">
        <v>6</v>
      </c>
      <c r="P77" s="12">
        <v>0</v>
      </c>
      <c r="Q77" s="12">
        <v>6</v>
      </c>
      <c r="R77" s="12">
        <v>8.99</v>
      </c>
      <c r="S77" s="12">
        <v>0.54</v>
      </c>
      <c r="T77" s="12">
        <v>22</v>
      </c>
      <c r="U77" s="12">
        <v>2</v>
      </c>
      <c r="V77" s="12">
        <v>539</v>
      </c>
      <c r="W77" s="12">
        <v>32</v>
      </c>
      <c r="X77" s="12">
        <v>0.72729999999999995</v>
      </c>
      <c r="Y77" s="12">
        <v>0.2364</v>
      </c>
      <c r="Z77" s="12">
        <v>0.67269999999999996</v>
      </c>
      <c r="AA77" s="12">
        <v>0</v>
      </c>
      <c r="AB77" s="12">
        <v>0</v>
      </c>
      <c r="AC77" s="12">
        <v>5</v>
      </c>
      <c r="AD77" s="12">
        <v>4</v>
      </c>
      <c r="AE77" s="12">
        <v>0</v>
      </c>
      <c r="AF77" s="12">
        <v>9.0899999999999995E-2</v>
      </c>
      <c r="AG77" s="12">
        <v>45</v>
      </c>
    </row>
    <row r="78" spans="1:33" ht="15" x14ac:dyDescent="0.2">
      <c r="A78" s="12" t="s">
        <v>115</v>
      </c>
      <c r="B78" s="12" t="s">
        <v>30</v>
      </c>
      <c r="C78" s="12" t="s">
        <v>61</v>
      </c>
      <c r="D78" s="12" t="s">
        <v>32</v>
      </c>
      <c r="E78" s="12">
        <v>390</v>
      </c>
      <c r="F78" s="12">
        <v>33</v>
      </c>
      <c r="G78" s="12">
        <v>17</v>
      </c>
      <c r="H78" s="12">
        <v>13</v>
      </c>
      <c r="I78" s="12">
        <v>20</v>
      </c>
      <c r="J78" s="12">
        <v>0</v>
      </c>
      <c r="K78" s="12">
        <v>0</v>
      </c>
      <c r="L78" s="12">
        <v>0</v>
      </c>
      <c r="M78" s="12">
        <v>5</v>
      </c>
      <c r="N78" s="12">
        <v>2</v>
      </c>
      <c r="O78" s="12">
        <v>7</v>
      </c>
      <c r="P78" s="12">
        <v>1</v>
      </c>
      <c r="Q78" s="12">
        <v>6</v>
      </c>
      <c r="R78" s="12">
        <v>6.57</v>
      </c>
      <c r="S78" s="12">
        <v>0.17</v>
      </c>
      <c r="T78" s="12">
        <v>20</v>
      </c>
      <c r="U78" s="12">
        <v>0</v>
      </c>
      <c r="V78" s="12">
        <v>394</v>
      </c>
      <c r="W78" s="12">
        <v>10</v>
      </c>
      <c r="X78" s="12">
        <v>0.51519999999999999</v>
      </c>
      <c r="Y78" s="12">
        <v>0.39389999999999997</v>
      </c>
      <c r="Z78" s="12">
        <v>0.60609999999999997</v>
      </c>
      <c r="AA78" s="12">
        <v>0</v>
      </c>
      <c r="AB78" s="12">
        <v>0</v>
      </c>
      <c r="AC78" s="12">
        <v>5</v>
      </c>
      <c r="AD78" s="12">
        <v>2</v>
      </c>
      <c r="AE78" s="12">
        <v>0.1429</v>
      </c>
      <c r="AF78" s="12">
        <v>0</v>
      </c>
      <c r="AG78" s="12">
        <v>30</v>
      </c>
    </row>
    <row r="79" spans="1:33" ht="15" x14ac:dyDescent="0.2">
      <c r="A79" s="12" t="s">
        <v>116</v>
      </c>
      <c r="B79" s="12" t="s">
        <v>30</v>
      </c>
      <c r="C79" s="12" t="s">
        <v>100</v>
      </c>
      <c r="D79" s="12" t="s">
        <v>39</v>
      </c>
      <c r="E79" s="12">
        <v>418</v>
      </c>
      <c r="F79" s="12">
        <v>70</v>
      </c>
      <c r="G79" s="12">
        <v>57</v>
      </c>
      <c r="H79" s="12">
        <v>11</v>
      </c>
      <c r="I79" s="12">
        <v>54</v>
      </c>
      <c r="J79" s="12">
        <v>0</v>
      </c>
      <c r="K79" s="12">
        <v>0</v>
      </c>
      <c r="L79" s="12">
        <v>0</v>
      </c>
      <c r="M79" s="12">
        <v>6</v>
      </c>
      <c r="N79" s="12">
        <v>5</v>
      </c>
      <c r="O79" s="12">
        <v>6</v>
      </c>
      <c r="P79" s="12">
        <v>0</v>
      </c>
      <c r="Q79" s="12">
        <v>6</v>
      </c>
      <c r="R79" s="12">
        <v>5.57</v>
      </c>
      <c r="S79" s="12">
        <v>0.25700000000000001</v>
      </c>
      <c r="T79" s="12">
        <v>20</v>
      </c>
      <c r="U79" s="12">
        <v>1</v>
      </c>
      <c r="V79" s="12">
        <v>334</v>
      </c>
      <c r="W79" s="12">
        <v>15</v>
      </c>
      <c r="X79" s="12">
        <v>0.81430000000000002</v>
      </c>
      <c r="Y79" s="12">
        <v>0.15709999999999999</v>
      </c>
      <c r="Z79" s="12">
        <v>0.77139999999999997</v>
      </c>
      <c r="AA79" s="12">
        <v>0</v>
      </c>
      <c r="AB79" s="12">
        <v>0</v>
      </c>
      <c r="AC79" s="12">
        <v>6</v>
      </c>
      <c r="AD79" s="12">
        <v>5</v>
      </c>
      <c r="AE79" s="12">
        <v>0</v>
      </c>
      <c r="AF79" s="12">
        <v>0.05</v>
      </c>
      <c r="AG79" s="12">
        <v>57</v>
      </c>
    </row>
    <row r="80" spans="1:33" ht="15" x14ac:dyDescent="0.2">
      <c r="A80" s="12" t="s">
        <v>117</v>
      </c>
      <c r="B80" s="12" t="s">
        <v>30</v>
      </c>
      <c r="C80" s="12" t="s">
        <v>100</v>
      </c>
      <c r="D80" s="12" t="s">
        <v>39</v>
      </c>
      <c r="E80" s="12">
        <v>441</v>
      </c>
      <c r="F80" s="12">
        <v>63</v>
      </c>
      <c r="G80" s="12">
        <v>37</v>
      </c>
      <c r="H80" s="12">
        <v>24</v>
      </c>
      <c r="I80" s="12">
        <v>38</v>
      </c>
      <c r="J80" s="12">
        <v>0</v>
      </c>
      <c r="K80" s="12">
        <v>0</v>
      </c>
      <c r="L80" s="12">
        <v>0</v>
      </c>
      <c r="M80" s="12">
        <v>5</v>
      </c>
      <c r="N80" s="12">
        <v>5</v>
      </c>
      <c r="O80" s="12">
        <v>6</v>
      </c>
      <c r="P80" s="12">
        <v>0</v>
      </c>
      <c r="Q80" s="12">
        <v>6</v>
      </c>
      <c r="R80" s="12">
        <v>7.91</v>
      </c>
      <c r="S80" s="12">
        <v>0.26400000000000001</v>
      </c>
      <c r="T80" s="12">
        <v>20</v>
      </c>
      <c r="U80" s="12">
        <v>0</v>
      </c>
      <c r="V80" s="12">
        <v>475</v>
      </c>
      <c r="W80" s="12">
        <v>16</v>
      </c>
      <c r="X80" s="12">
        <v>0.58730000000000004</v>
      </c>
      <c r="Y80" s="12">
        <v>0.38100000000000001</v>
      </c>
      <c r="Z80" s="12">
        <v>0.60319999999999996</v>
      </c>
      <c r="AA80" s="12">
        <v>0</v>
      </c>
      <c r="AB80" s="12">
        <v>0</v>
      </c>
      <c r="AC80" s="12">
        <v>5</v>
      </c>
      <c r="AD80" s="12">
        <v>5</v>
      </c>
      <c r="AE80" s="12">
        <v>0</v>
      </c>
      <c r="AF80" s="12">
        <v>0</v>
      </c>
      <c r="AG80" s="12">
        <v>30</v>
      </c>
    </row>
    <row r="81" spans="1:33" ht="15" x14ac:dyDescent="0.2">
      <c r="A81" s="12" t="s">
        <v>118</v>
      </c>
      <c r="B81" s="12" t="s">
        <v>30</v>
      </c>
      <c r="C81" s="12" t="s">
        <v>100</v>
      </c>
      <c r="D81" s="12" t="s">
        <v>39</v>
      </c>
      <c r="E81" s="12">
        <v>460</v>
      </c>
      <c r="F81" s="12">
        <v>73</v>
      </c>
      <c r="G81" s="12">
        <v>39</v>
      </c>
      <c r="H81" s="12">
        <v>25</v>
      </c>
      <c r="I81" s="12">
        <v>40</v>
      </c>
      <c r="J81" s="12">
        <v>0</v>
      </c>
      <c r="K81" s="12">
        <v>0</v>
      </c>
      <c r="L81" s="12">
        <v>0</v>
      </c>
      <c r="M81" s="12">
        <v>3</v>
      </c>
      <c r="N81" s="12">
        <v>4</v>
      </c>
      <c r="O81" s="12">
        <v>6</v>
      </c>
      <c r="P81" s="12">
        <v>1</v>
      </c>
      <c r="Q81" s="12">
        <v>5</v>
      </c>
      <c r="R81" s="12">
        <v>6.91</v>
      </c>
      <c r="S81" s="12">
        <v>0.45100000000000001</v>
      </c>
      <c r="T81" s="12">
        <v>20</v>
      </c>
      <c r="U81" s="12">
        <v>0</v>
      </c>
      <c r="V81" s="12">
        <v>415</v>
      </c>
      <c r="W81" s="12">
        <v>27</v>
      </c>
      <c r="X81" s="12">
        <v>0.53420000000000001</v>
      </c>
      <c r="Y81" s="12">
        <v>0.34250000000000003</v>
      </c>
      <c r="Z81" s="12">
        <v>0.54790000000000005</v>
      </c>
      <c r="AA81" s="12">
        <v>0</v>
      </c>
      <c r="AB81" s="12">
        <v>0</v>
      </c>
      <c r="AC81" s="12">
        <v>3</v>
      </c>
      <c r="AD81" s="12">
        <v>4</v>
      </c>
      <c r="AE81" s="12">
        <v>0.16669999999999999</v>
      </c>
      <c r="AF81" s="12">
        <v>0</v>
      </c>
      <c r="AG81" s="12">
        <v>25</v>
      </c>
    </row>
    <row r="82" spans="1:33" ht="15" x14ac:dyDescent="0.2">
      <c r="A82" s="12" t="s">
        <v>119</v>
      </c>
      <c r="B82" s="12" t="s">
        <v>30</v>
      </c>
      <c r="C82" s="12" t="s">
        <v>100</v>
      </c>
      <c r="D82" s="12" t="s">
        <v>39</v>
      </c>
      <c r="E82" s="12">
        <v>419</v>
      </c>
      <c r="F82" s="12">
        <v>38</v>
      </c>
      <c r="G82" s="12">
        <v>15</v>
      </c>
      <c r="H82" s="12">
        <v>17</v>
      </c>
      <c r="I82" s="12">
        <v>16</v>
      </c>
      <c r="J82" s="12">
        <v>0</v>
      </c>
      <c r="K82" s="12">
        <v>0</v>
      </c>
      <c r="L82" s="12">
        <v>0</v>
      </c>
      <c r="M82" s="12">
        <v>5</v>
      </c>
      <c r="N82" s="12">
        <v>4</v>
      </c>
      <c r="O82" s="12">
        <v>5</v>
      </c>
      <c r="P82" s="12">
        <v>0</v>
      </c>
      <c r="Q82" s="12">
        <v>5</v>
      </c>
      <c r="R82" s="12">
        <v>5.68</v>
      </c>
      <c r="S82" s="12">
        <v>0.34699999999999998</v>
      </c>
      <c r="T82" s="12">
        <v>20</v>
      </c>
      <c r="U82" s="12">
        <v>1</v>
      </c>
      <c r="V82" s="12">
        <v>341</v>
      </c>
      <c r="W82" s="12">
        <v>21</v>
      </c>
      <c r="X82" s="12">
        <v>0.3947</v>
      </c>
      <c r="Y82" s="12">
        <v>0.44740000000000002</v>
      </c>
      <c r="Z82" s="12">
        <v>0.42109999999999997</v>
      </c>
      <c r="AA82" s="12">
        <v>0</v>
      </c>
      <c r="AB82" s="12">
        <v>0</v>
      </c>
      <c r="AC82" s="12">
        <v>5</v>
      </c>
      <c r="AD82" s="12">
        <v>4</v>
      </c>
      <c r="AE82" s="12">
        <v>0</v>
      </c>
      <c r="AF82" s="12">
        <v>0.05</v>
      </c>
      <c r="AG82" s="12">
        <v>25</v>
      </c>
    </row>
    <row r="83" spans="1:33" ht="15" x14ac:dyDescent="0.2">
      <c r="A83" s="12" t="s">
        <v>120</v>
      </c>
      <c r="B83" s="12" t="s">
        <v>30</v>
      </c>
      <c r="C83" s="12" t="s">
        <v>31</v>
      </c>
      <c r="D83" s="12" t="s">
        <v>32</v>
      </c>
      <c r="E83" s="12">
        <v>434</v>
      </c>
      <c r="F83" s="12">
        <v>50</v>
      </c>
      <c r="G83" s="12">
        <v>38</v>
      </c>
      <c r="H83" s="12">
        <v>11</v>
      </c>
      <c r="I83" s="12">
        <v>38</v>
      </c>
      <c r="J83" s="12">
        <v>0</v>
      </c>
      <c r="K83" s="12">
        <v>0</v>
      </c>
      <c r="L83" s="12">
        <v>0</v>
      </c>
      <c r="M83" s="12">
        <v>6</v>
      </c>
      <c r="N83" s="12">
        <v>2</v>
      </c>
      <c r="O83" s="12">
        <v>6</v>
      </c>
      <c r="P83" s="12">
        <v>0</v>
      </c>
      <c r="Q83" s="12">
        <v>6</v>
      </c>
      <c r="R83" s="12">
        <v>6.11</v>
      </c>
      <c r="S83" s="12">
        <v>0.37</v>
      </c>
      <c r="T83" s="12">
        <v>21</v>
      </c>
      <c r="U83" s="12">
        <v>0</v>
      </c>
      <c r="V83" s="12">
        <v>366</v>
      </c>
      <c r="W83" s="12">
        <v>22</v>
      </c>
      <c r="X83" s="12">
        <v>0.76</v>
      </c>
      <c r="Y83" s="12">
        <v>0.22</v>
      </c>
      <c r="Z83" s="12">
        <v>0.76</v>
      </c>
      <c r="AA83" s="12">
        <v>0</v>
      </c>
      <c r="AB83" s="12">
        <v>0</v>
      </c>
      <c r="AC83" s="12">
        <v>6</v>
      </c>
      <c r="AD83" s="12">
        <v>2</v>
      </c>
      <c r="AE83" s="12">
        <v>0</v>
      </c>
      <c r="AF83" s="12">
        <v>0</v>
      </c>
      <c r="AG83" s="12">
        <v>57</v>
      </c>
    </row>
    <row r="84" spans="1:33" ht="15" x14ac:dyDescent="0.2">
      <c r="A84" s="12" t="s">
        <v>121</v>
      </c>
      <c r="B84" s="12" t="s">
        <v>30</v>
      </c>
      <c r="C84" s="12" t="s">
        <v>100</v>
      </c>
      <c r="D84" s="12" t="s">
        <v>39</v>
      </c>
      <c r="E84" s="12">
        <v>340</v>
      </c>
      <c r="F84" s="12">
        <v>42</v>
      </c>
      <c r="G84" s="12">
        <v>21</v>
      </c>
      <c r="H84" s="12">
        <v>19</v>
      </c>
      <c r="I84" s="12">
        <v>21</v>
      </c>
      <c r="J84" s="12">
        <v>0</v>
      </c>
      <c r="K84" s="12">
        <v>0</v>
      </c>
      <c r="L84" s="12">
        <v>0</v>
      </c>
      <c r="M84" s="12">
        <v>5</v>
      </c>
      <c r="N84" s="12">
        <v>5</v>
      </c>
      <c r="O84" s="12">
        <v>6</v>
      </c>
      <c r="P84" s="12">
        <v>1</v>
      </c>
      <c r="Q84" s="12">
        <v>5</v>
      </c>
      <c r="R84" s="12">
        <v>6.87</v>
      </c>
      <c r="S84" s="12">
        <v>0.46400000000000002</v>
      </c>
      <c r="T84" s="12">
        <v>18</v>
      </c>
      <c r="U84" s="12">
        <v>1</v>
      </c>
      <c r="V84" s="12">
        <v>412</v>
      </c>
      <c r="W84" s="12">
        <v>28</v>
      </c>
      <c r="X84" s="12">
        <v>0.5</v>
      </c>
      <c r="Y84" s="12">
        <v>0.45240000000000002</v>
      </c>
      <c r="Z84" s="12">
        <v>0.5</v>
      </c>
      <c r="AA84" s="12">
        <v>0</v>
      </c>
      <c r="AB84" s="12">
        <v>0</v>
      </c>
      <c r="AC84" s="12">
        <v>5</v>
      </c>
      <c r="AD84" s="12">
        <v>5</v>
      </c>
      <c r="AE84" s="12">
        <v>0.16669999999999999</v>
      </c>
      <c r="AF84" s="12">
        <v>5.5599999999999997E-2</v>
      </c>
      <c r="AG84" s="12">
        <v>25</v>
      </c>
    </row>
    <row r="85" spans="1:33" ht="15" x14ac:dyDescent="0.2">
      <c r="A85" s="12" t="s">
        <v>122</v>
      </c>
      <c r="B85" s="12" t="s">
        <v>30</v>
      </c>
      <c r="C85" s="12" t="s">
        <v>100</v>
      </c>
      <c r="D85" s="12" t="s">
        <v>39</v>
      </c>
      <c r="E85" s="12">
        <v>234</v>
      </c>
      <c r="F85" s="12">
        <v>30</v>
      </c>
      <c r="G85" s="12">
        <v>19</v>
      </c>
      <c r="H85" s="12">
        <v>11</v>
      </c>
      <c r="I85" s="12">
        <v>18</v>
      </c>
      <c r="J85" s="12">
        <v>0</v>
      </c>
      <c r="K85" s="12">
        <v>0</v>
      </c>
      <c r="L85" s="12">
        <v>0</v>
      </c>
      <c r="M85" s="12">
        <v>1</v>
      </c>
      <c r="N85" s="12">
        <v>1</v>
      </c>
      <c r="O85" s="12">
        <v>1</v>
      </c>
      <c r="P85" s="12">
        <v>0</v>
      </c>
      <c r="Q85" s="12">
        <v>1</v>
      </c>
      <c r="R85" s="12">
        <v>4.38</v>
      </c>
      <c r="S85" s="12">
        <v>0.246</v>
      </c>
      <c r="T85" s="12">
        <v>11</v>
      </c>
      <c r="U85" s="12">
        <v>4</v>
      </c>
      <c r="V85" s="12">
        <v>263</v>
      </c>
      <c r="W85" s="12">
        <v>15</v>
      </c>
      <c r="X85" s="12">
        <v>0.63329999999999997</v>
      </c>
      <c r="Y85" s="12">
        <v>0.36670000000000003</v>
      </c>
      <c r="Z85" s="12">
        <v>0.6</v>
      </c>
      <c r="AA85" s="12">
        <v>0</v>
      </c>
      <c r="AB85" s="12">
        <v>0</v>
      </c>
      <c r="AC85" s="12">
        <v>1</v>
      </c>
      <c r="AD85" s="12">
        <v>1</v>
      </c>
      <c r="AE85" s="12">
        <v>0</v>
      </c>
      <c r="AF85" s="12">
        <v>0.36359999999999998</v>
      </c>
      <c r="AG85" s="12">
        <v>60</v>
      </c>
    </row>
    <row r="86" spans="1:33" ht="15" x14ac:dyDescent="0.2">
      <c r="A86" s="12" t="s">
        <v>123</v>
      </c>
      <c r="B86" s="12" t="s">
        <v>30</v>
      </c>
      <c r="C86" s="12" t="s">
        <v>31</v>
      </c>
      <c r="D86" s="12" t="s">
        <v>32</v>
      </c>
      <c r="E86" s="12">
        <v>390</v>
      </c>
      <c r="F86" s="12">
        <v>61</v>
      </c>
      <c r="G86" s="12">
        <v>31</v>
      </c>
      <c r="H86" s="12">
        <v>23</v>
      </c>
      <c r="I86" s="12">
        <v>31</v>
      </c>
      <c r="J86" s="12">
        <v>0</v>
      </c>
      <c r="K86" s="12">
        <v>0</v>
      </c>
      <c r="L86" s="12">
        <v>1</v>
      </c>
      <c r="M86" s="12">
        <v>4</v>
      </c>
      <c r="N86" s="12">
        <v>6</v>
      </c>
      <c r="O86" s="12">
        <v>8</v>
      </c>
      <c r="P86" s="12">
        <v>1</v>
      </c>
      <c r="Q86" s="12">
        <v>7</v>
      </c>
      <c r="R86" s="12">
        <v>4</v>
      </c>
      <c r="S86" s="12">
        <v>0.28000000000000003</v>
      </c>
      <c r="T86" s="12">
        <v>21</v>
      </c>
      <c r="U86" s="12">
        <v>2</v>
      </c>
      <c r="V86" s="12">
        <v>240</v>
      </c>
      <c r="W86" s="12">
        <v>17</v>
      </c>
      <c r="X86" s="12">
        <v>0.50819999999999999</v>
      </c>
      <c r="Y86" s="12">
        <v>0.377</v>
      </c>
      <c r="Z86" s="12">
        <v>0.50819999999999999</v>
      </c>
      <c r="AA86" s="12">
        <v>0</v>
      </c>
      <c r="AB86" s="12">
        <v>0</v>
      </c>
      <c r="AC86" s="12">
        <v>4</v>
      </c>
      <c r="AD86" s="12">
        <v>6</v>
      </c>
      <c r="AE86" s="12">
        <v>0.125</v>
      </c>
      <c r="AF86" s="12">
        <v>9.5200000000000007E-2</v>
      </c>
      <c r="AG86" s="12">
        <v>25</v>
      </c>
    </row>
    <row r="87" spans="1:33" ht="15" x14ac:dyDescent="0.2">
      <c r="A87" s="12" t="s">
        <v>124</v>
      </c>
      <c r="B87" s="12" t="s">
        <v>30</v>
      </c>
      <c r="C87" s="12" t="s">
        <v>61</v>
      </c>
      <c r="D87" s="12" t="s">
        <v>32</v>
      </c>
      <c r="E87" s="12">
        <v>278</v>
      </c>
      <c r="F87" s="12">
        <v>37</v>
      </c>
      <c r="G87" s="12">
        <v>16</v>
      </c>
      <c r="H87" s="12">
        <v>17</v>
      </c>
      <c r="I87" s="12">
        <v>16</v>
      </c>
      <c r="J87" s="12">
        <v>0</v>
      </c>
      <c r="K87" s="12">
        <v>0</v>
      </c>
      <c r="L87" s="12">
        <v>0</v>
      </c>
      <c r="M87" s="12">
        <v>1</v>
      </c>
      <c r="N87" s="12">
        <v>2</v>
      </c>
      <c r="O87" s="12">
        <v>5</v>
      </c>
      <c r="P87" s="12">
        <v>3</v>
      </c>
      <c r="Q87" s="12">
        <v>2</v>
      </c>
      <c r="R87" s="12">
        <v>10.199999999999999</v>
      </c>
      <c r="S87" s="12">
        <v>0.51</v>
      </c>
      <c r="T87" s="12">
        <v>15</v>
      </c>
      <c r="U87" s="12">
        <v>0</v>
      </c>
      <c r="V87" s="12">
        <v>612</v>
      </c>
      <c r="W87" s="12">
        <v>31</v>
      </c>
      <c r="X87" s="12">
        <v>0.43240000000000001</v>
      </c>
      <c r="Y87" s="12">
        <v>0.45950000000000002</v>
      </c>
      <c r="Z87" s="12">
        <v>0.43240000000000001</v>
      </c>
      <c r="AA87" s="12">
        <v>0</v>
      </c>
      <c r="AB87" s="12">
        <v>0</v>
      </c>
      <c r="AC87" s="12">
        <v>1</v>
      </c>
      <c r="AD87" s="12">
        <v>2</v>
      </c>
      <c r="AE87" s="12">
        <v>0.6</v>
      </c>
      <c r="AF87" s="12">
        <v>0</v>
      </c>
      <c r="AG87" s="12">
        <v>25</v>
      </c>
    </row>
    <row r="88" spans="1:33" ht="15" x14ac:dyDescent="0.2">
      <c r="A88" s="12" t="s">
        <v>125</v>
      </c>
      <c r="B88" s="12" t="s">
        <v>30</v>
      </c>
      <c r="C88" s="12" t="s">
        <v>61</v>
      </c>
      <c r="D88" s="12" t="s">
        <v>32</v>
      </c>
      <c r="E88" s="12">
        <v>394</v>
      </c>
      <c r="F88" s="12">
        <v>58</v>
      </c>
      <c r="G88" s="12">
        <v>31</v>
      </c>
      <c r="H88" s="12">
        <v>22</v>
      </c>
      <c r="I88" s="12">
        <v>34</v>
      </c>
      <c r="J88" s="12">
        <v>0</v>
      </c>
      <c r="K88" s="12">
        <v>0</v>
      </c>
      <c r="L88" s="12">
        <v>0</v>
      </c>
      <c r="M88" s="12">
        <v>1</v>
      </c>
      <c r="N88" s="12">
        <v>1</v>
      </c>
      <c r="O88" s="12">
        <v>5</v>
      </c>
      <c r="P88" s="12">
        <v>4</v>
      </c>
      <c r="Q88" s="12">
        <v>1</v>
      </c>
      <c r="R88" s="12">
        <v>6.09</v>
      </c>
      <c r="S88" s="12">
        <v>0.23699999999999999</v>
      </c>
      <c r="T88" s="12">
        <v>22</v>
      </c>
      <c r="U88" s="12">
        <v>0</v>
      </c>
      <c r="V88" s="12">
        <v>366</v>
      </c>
      <c r="W88" s="12">
        <v>14</v>
      </c>
      <c r="X88" s="12">
        <v>0.53449999999999998</v>
      </c>
      <c r="Y88" s="12">
        <v>0.37930000000000003</v>
      </c>
      <c r="Z88" s="12">
        <v>0.58620000000000005</v>
      </c>
      <c r="AA88" s="12">
        <v>0</v>
      </c>
      <c r="AB88" s="12">
        <v>0</v>
      </c>
      <c r="AC88" s="12">
        <v>1</v>
      </c>
      <c r="AD88" s="12">
        <v>1</v>
      </c>
      <c r="AE88" s="12">
        <v>0.8</v>
      </c>
      <c r="AF88" s="12">
        <v>0</v>
      </c>
      <c r="AG88" s="12">
        <v>40</v>
      </c>
    </row>
    <row r="89" spans="1:33" ht="15" x14ac:dyDescent="0.2">
      <c r="A89" s="12" t="s">
        <v>126</v>
      </c>
      <c r="B89" s="12" t="s">
        <v>30</v>
      </c>
      <c r="C89" s="12" t="s">
        <v>61</v>
      </c>
      <c r="D89" s="12" t="s">
        <v>32</v>
      </c>
      <c r="E89" s="12">
        <v>350</v>
      </c>
      <c r="F89" s="12">
        <v>51</v>
      </c>
      <c r="G89" s="12">
        <v>28</v>
      </c>
      <c r="H89" s="12">
        <v>19</v>
      </c>
      <c r="I89" s="12">
        <v>32</v>
      </c>
      <c r="J89" s="12">
        <v>0</v>
      </c>
      <c r="K89" s="12">
        <v>0</v>
      </c>
      <c r="L89" s="12">
        <v>0</v>
      </c>
      <c r="M89" s="12">
        <v>4</v>
      </c>
      <c r="N89" s="12">
        <v>2</v>
      </c>
      <c r="O89" s="12">
        <v>6</v>
      </c>
      <c r="P89" s="12">
        <v>2</v>
      </c>
      <c r="Q89" s="12">
        <v>4</v>
      </c>
      <c r="R89" s="12">
        <v>6.65</v>
      </c>
      <c r="S89" s="12">
        <v>0.44600000000000001</v>
      </c>
      <c r="T89" s="12">
        <v>22</v>
      </c>
      <c r="U89" s="12">
        <v>1</v>
      </c>
      <c r="V89" s="12">
        <v>399</v>
      </c>
      <c r="W89" s="12">
        <v>27</v>
      </c>
      <c r="X89" s="12">
        <v>0.54900000000000004</v>
      </c>
      <c r="Y89" s="12">
        <v>0.3725</v>
      </c>
      <c r="Z89" s="12">
        <v>0.62749999999999995</v>
      </c>
      <c r="AA89" s="12">
        <v>0</v>
      </c>
      <c r="AB89" s="12">
        <v>0</v>
      </c>
      <c r="AC89" s="12">
        <v>4</v>
      </c>
      <c r="AD89" s="12">
        <v>2</v>
      </c>
      <c r="AE89" s="12">
        <v>0.33329999999999999</v>
      </c>
      <c r="AF89" s="12">
        <v>4.5499999999999999E-2</v>
      </c>
      <c r="AG89" s="12">
        <v>30</v>
      </c>
    </row>
    <row r="90" spans="1:33" ht="15" x14ac:dyDescent="0.2">
      <c r="A90" s="12" t="s">
        <v>127</v>
      </c>
      <c r="B90" s="12" t="s">
        <v>30</v>
      </c>
      <c r="C90" s="12" t="s">
        <v>61</v>
      </c>
      <c r="D90" s="12" t="s">
        <v>32</v>
      </c>
      <c r="E90" s="12">
        <v>386</v>
      </c>
      <c r="F90" s="12">
        <v>58</v>
      </c>
      <c r="G90" s="12">
        <v>46</v>
      </c>
      <c r="H90" s="12">
        <v>10</v>
      </c>
      <c r="I90" s="12">
        <v>47</v>
      </c>
      <c r="J90" s="12">
        <v>0</v>
      </c>
      <c r="K90" s="12">
        <v>0</v>
      </c>
      <c r="L90" s="12">
        <v>0</v>
      </c>
      <c r="M90" s="12">
        <v>3</v>
      </c>
      <c r="N90" s="12">
        <v>5</v>
      </c>
      <c r="O90" s="12">
        <v>7</v>
      </c>
      <c r="P90" s="12">
        <v>2</v>
      </c>
      <c r="Q90" s="12">
        <v>5</v>
      </c>
      <c r="R90" s="12">
        <v>5.59</v>
      </c>
      <c r="S90" s="12">
        <v>0.23899999999999999</v>
      </c>
      <c r="T90" s="12">
        <v>22</v>
      </c>
      <c r="U90" s="12">
        <v>2</v>
      </c>
      <c r="V90" s="12">
        <v>336</v>
      </c>
      <c r="W90" s="12">
        <v>14</v>
      </c>
      <c r="X90" s="12">
        <v>0.79310000000000003</v>
      </c>
      <c r="Y90" s="12">
        <v>0.1724</v>
      </c>
      <c r="Z90" s="12">
        <v>0.81030000000000002</v>
      </c>
      <c r="AA90" s="12">
        <v>0</v>
      </c>
      <c r="AB90" s="12">
        <v>0</v>
      </c>
      <c r="AC90" s="12">
        <v>3</v>
      </c>
      <c r="AD90" s="12">
        <v>5</v>
      </c>
      <c r="AE90" s="12">
        <v>0.28570000000000001</v>
      </c>
      <c r="AF90" s="12">
        <v>9.0899999999999995E-2</v>
      </c>
      <c r="AG90" s="12">
        <v>60</v>
      </c>
    </row>
    <row r="91" spans="1:33" ht="15" x14ac:dyDescent="0.2">
      <c r="A91" s="12" t="s">
        <v>128</v>
      </c>
      <c r="B91" s="12" t="s">
        <v>30</v>
      </c>
      <c r="C91" s="12" t="s">
        <v>34</v>
      </c>
      <c r="D91" s="12" t="s">
        <v>32</v>
      </c>
      <c r="E91" s="12">
        <v>373</v>
      </c>
      <c r="F91" s="12">
        <v>51</v>
      </c>
      <c r="G91" s="12">
        <v>22</v>
      </c>
      <c r="H91" s="12">
        <v>22</v>
      </c>
      <c r="I91" s="12">
        <v>25</v>
      </c>
      <c r="J91" s="12">
        <v>0</v>
      </c>
      <c r="K91" s="12">
        <v>0</v>
      </c>
      <c r="L91" s="12">
        <v>0</v>
      </c>
      <c r="M91" s="12">
        <v>4</v>
      </c>
      <c r="N91" s="12">
        <v>3</v>
      </c>
      <c r="O91" s="12">
        <v>4</v>
      </c>
      <c r="P91" s="12">
        <v>0</v>
      </c>
      <c r="Q91" s="12">
        <v>4</v>
      </c>
      <c r="R91" s="12">
        <v>7.22</v>
      </c>
      <c r="S91" s="12">
        <v>0.51800000000000002</v>
      </c>
      <c r="T91" s="12">
        <v>20</v>
      </c>
      <c r="U91" s="12">
        <v>4</v>
      </c>
      <c r="V91" s="12">
        <v>433</v>
      </c>
      <c r="W91" s="12">
        <v>31</v>
      </c>
      <c r="X91" s="12">
        <v>0.43140000000000001</v>
      </c>
      <c r="Y91" s="12">
        <v>0.43140000000000001</v>
      </c>
      <c r="Z91" s="12">
        <v>0.49020000000000002</v>
      </c>
      <c r="AA91" s="12">
        <v>0</v>
      </c>
      <c r="AB91" s="12">
        <v>0</v>
      </c>
      <c r="AC91" s="12">
        <v>4</v>
      </c>
      <c r="AD91" s="12">
        <v>3</v>
      </c>
      <c r="AE91" s="12">
        <v>0</v>
      </c>
      <c r="AF91" s="12">
        <v>0.2</v>
      </c>
      <c r="AG91" s="12">
        <v>15</v>
      </c>
    </row>
    <row r="92" spans="1:33" ht="15" x14ac:dyDescent="0.2">
      <c r="A92" s="12" t="s">
        <v>129</v>
      </c>
      <c r="B92" s="12" t="s">
        <v>30</v>
      </c>
      <c r="C92" s="12" t="s">
        <v>34</v>
      </c>
      <c r="D92" s="12" t="s">
        <v>32</v>
      </c>
      <c r="E92" s="12">
        <v>347</v>
      </c>
      <c r="F92" s="12">
        <v>73</v>
      </c>
      <c r="G92" s="12">
        <v>56</v>
      </c>
      <c r="H92" s="12">
        <v>13</v>
      </c>
      <c r="I92" s="12">
        <v>56</v>
      </c>
      <c r="J92" s="12">
        <v>0</v>
      </c>
      <c r="K92" s="12">
        <v>0</v>
      </c>
      <c r="L92" s="12">
        <v>0</v>
      </c>
      <c r="M92" s="12">
        <v>4</v>
      </c>
      <c r="N92" s="12">
        <v>3</v>
      </c>
      <c r="O92" s="12">
        <v>5</v>
      </c>
      <c r="P92" s="12">
        <v>0</v>
      </c>
      <c r="Q92" s="12">
        <v>5</v>
      </c>
      <c r="R92" s="12">
        <v>7.82</v>
      </c>
      <c r="S92" s="12">
        <v>0.315</v>
      </c>
      <c r="T92" s="12">
        <v>19</v>
      </c>
      <c r="U92" s="12">
        <v>2</v>
      </c>
      <c r="V92" s="12">
        <v>469</v>
      </c>
      <c r="W92" s="12">
        <v>19</v>
      </c>
      <c r="X92" s="12">
        <v>0.7671</v>
      </c>
      <c r="Y92" s="12">
        <v>0.17810000000000001</v>
      </c>
      <c r="Z92" s="12">
        <v>0.7671</v>
      </c>
      <c r="AA92" s="12">
        <v>0</v>
      </c>
      <c r="AB92" s="12">
        <v>0</v>
      </c>
      <c r="AC92" s="12">
        <v>4</v>
      </c>
      <c r="AD92" s="12">
        <v>3</v>
      </c>
      <c r="AE92" s="12">
        <v>0</v>
      </c>
      <c r="AF92" s="12">
        <v>0.1053</v>
      </c>
      <c r="AG92" s="12">
        <v>57</v>
      </c>
    </row>
    <row r="93" spans="1:33" ht="15" x14ac:dyDescent="0.2">
      <c r="A93" s="12" t="s">
        <v>130</v>
      </c>
      <c r="B93" s="12" t="s">
        <v>30</v>
      </c>
      <c r="C93" s="12" t="s">
        <v>34</v>
      </c>
      <c r="D93" s="12" t="s">
        <v>32</v>
      </c>
      <c r="E93" s="12">
        <v>443</v>
      </c>
      <c r="F93" s="12">
        <v>71</v>
      </c>
      <c r="G93" s="12">
        <v>45</v>
      </c>
      <c r="H93" s="12">
        <v>22</v>
      </c>
      <c r="I93" s="12">
        <v>48</v>
      </c>
      <c r="J93" s="12">
        <v>0</v>
      </c>
      <c r="K93" s="12">
        <v>0</v>
      </c>
      <c r="L93" s="12">
        <v>0</v>
      </c>
      <c r="M93" s="12">
        <v>2</v>
      </c>
      <c r="N93" s="12">
        <v>3</v>
      </c>
      <c r="O93" s="12">
        <v>3</v>
      </c>
      <c r="P93" s="12">
        <v>0</v>
      </c>
      <c r="Q93" s="12">
        <v>3</v>
      </c>
      <c r="R93" s="12">
        <v>5.01</v>
      </c>
      <c r="S93" s="12">
        <v>0.19700000000000001</v>
      </c>
      <c r="T93" s="12">
        <v>20</v>
      </c>
      <c r="U93" s="12">
        <v>0</v>
      </c>
      <c r="V93" s="12">
        <v>301</v>
      </c>
      <c r="W93" s="12">
        <v>12</v>
      </c>
      <c r="X93" s="12">
        <v>0.63380000000000003</v>
      </c>
      <c r="Y93" s="12">
        <v>0.30990000000000001</v>
      </c>
      <c r="Z93" s="12">
        <v>0.67610000000000003</v>
      </c>
      <c r="AA93" s="12">
        <v>0</v>
      </c>
      <c r="AB93" s="12">
        <v>0</v>
      </c>
      <c r="AC93" s="12">
        <v>2</v>
      </c>
      <c r="AD93" s="12">
        <v>3</v>
      </c>
      <c r="AE93" s="12">
        <v>0</v>
      </c>
      <c r="AF93" s="12">
        <v>0</v>
      </c>
      <c r="AG93" s="12">
        <v>45</v>
      </c>
    </row>
    <row r="94" spans="1:33" ht="15" x14ac:dyDescent="0.2">
      <c r="A94" s="12" t="s">
        <v>131</v>
      </c>
      <c r="B94" s="12" t="s">
        <v>30</v>
      </c>
      <c r="C94" s="12" t="s">
        <v>34</v>
      </c>
      <c r="D94" s="12" t="s">
        <v>32</v>
      </c>
      <c r="E94" s="12">
        <v>457</v>
      </c>
      <c r="F94" s="12">
        <v>42</v>
      </c>
      <c r="G94" s="12">
        <v>24</v>
      </c>
      <c r="H94" s="12">
        <v>17</v>
      </c>
      <c r="I94" s="12">
        <v>23</v>
      </c>
      <c r="J94" s="12">
        <v>0</v>
      </c>
      <c r="K94" s="12">
        <v>0</v>
      </c>
      <c r="L94" s="12">
        <v>0</v>
      </c>
      <c r="M94" s="12">
        <v>4</v>
      </c>
      <c r="N94" s="12">
        <v>4</v>
      </c>
      <c r="O94" s="12">
        <v>6</v>
      </c>
      <c r="P94" s="12">
        <v>2</v>
      </c>
      <c r="Q94" s="12">
        <v>4</v>
      </c>
      <c r="R94" s="12">
        <v>6.74</v>
      </c>
      <c r="S94" s="12">
        <v>0.318</v>
      </c>
      <c r="T94" s="12">
        <v>20</v>
      </c>
      <c r="U94" s="12">
        <v>0</v>
      </c>
      <c r="V94" s="12">
        <v>405</v>
      </c>
      <c r="W94" s="12">
        <v>19</v>
      </c>
      <c r="X94" s="12">
        <v>0.57140000000000002</v>
      </c>
      <c r="Y94" s="12">
        <v>0.40479999999999999</v>
      </c>
      <c r="Z94" s="12">
        <v>0.54759999999999998</v>
      </c>
      <c r="AA94" s="12">
        <v>0</v>
      </c>
      <c r="AB94" s="12">
        <v>0</v>
      </c>
      <c r="AC94" s="12">
        <v>4</v>
      </c>
      <c r="AD94" s="12">
        <v>4</v>
      </c>
      <c r="AE94" s="12">
        <v>0.33329999999999999</v>
      </c>
      <c r="AF94" s="12">
        <v>0</v>
      </c>
      <c r="AG94" s="12">
        <v>25</v>
      </c>
    </row>
    <row r="95" spans="1:33" ht="15" x14ac:dyDescent="0.2">
      <c r="A95" s="12" t="s">
        <v>132</v>
      </c>
      <c r="B95" s="12" t="s">
        <v>30</v>
      </c>
      <c r="C95" s="12" t="s">
        <v>34</v>
      </c>
      <c r="D95" s="12" t="s">
        <v>32</v>
      </c>
      <c r="E95" s="12">
        <v>354</v>
      </c>
      <c r="F95" s="12">
        <v>46</v>
      </c>
      <c r="G95" s="12">
        <v>33</v>
      </c>
      <c r="H95" s="12">
        <v>11</v>
      </c>
      <c r="I95" s="12">
        <v>33</v>
      </c>
      <c r="J95" s="12">
        <v>0</v>
      </c>
      <c r="K95" s="12">
        <v>0</v>
      </c>
      <c r="L95" s="12">
        <v>0</v>
      </c>
      <c r="M95" s="12">
        <v>5</v>
      </c>
      <c r="N95" s="12">
        <v>5</v>
      </c>
      <c r="O95" s="12">
        <v>6</v>
      </c>
      <c r="P95" s="12">
        <v>1</v>
      </c>
      <c r="Q95" s="12">
        <v>5</v>
      </c>
      <c r="R95" s="12">
        <v>5.75</v>
      </c>
      <c r="S95" s="12">
        <v>0.34499999999999997</v>
      </c>
      <c r="T95" s="12">
        <v>20</v>
      </c>
      <c r="U95" s="12">
        <v>3</v>
      </c>
      <c r="V95" s="12">
        <v>345</v>
      </c>
      <c r="W95" s="12">
        <v>21</v>
      </c>
      <c r="X95" s="12">
        <v>0.71740000000000004</v>
      </c>
      <c r="Y95" s="12">
        <v>0.23910000000000001</v>
      </c>
      <c r="Z95" s="12">
        <v>0.71740000000000004</v>
      </c>
      <c r="AA95" s="12">
        <v>0</v>
      </c>
      <c r="AB95" s="12">
        <v>0</v>
      </c>
      <c r="AC95" s="12">
        <v>5</v>
      </c>
      <c r="AD95" s="12">
        <v>5</v>
      </c>
      <c r="AE95" s="12">
        <v>0.16669999999999999</v>
      </c>
      <c r="AF95" s="12">
        <v>0.15</v>
      </c>
      <c r="AG95" s="12">
        <v>57</v>
      </c>
    </row>
    <row r="96" spans="1:33" ht="15" x14ac:dyDescent="0.2">
      <c r="A96" s="12" t="s">
        <v>133</v>
      </c>
      <c r="B96" s="12" t="s">
        <v>30</v>
      </c>
      <c r="C96" s="12" t="s">
        <v>61</v>
      </c>
      <c r="D96" s="12" t="s">
        <v>32</v>
      </c>
      <c r="E96" s="12">
        <v>323</v>
      </c>
      <c r="F96" s="12">
        <v>65</v>
      </c>
      <c r="G96" s="12">
        <v>42</v>
      </c>
      <c r="H96" s="12">
        <v>19</v>
      </c>
      <c r="I96" s="12">
        <v>43</v>
      </c>
      <c r="J96" s="12">
        <v>0</v>
      </c>
      <c r="K96" s="12">
        <v>0</v>
      </c>
      <c r="L96" s="12">
        <v>0</v>
      </c>
      <c r="M96" s="12">
        <v>5</v>
      </c>
      <c r="N96" s="12">
        <v>5</v>
      </c>
      <c r="O96" s="12">
        <v>6</v>
      </c>
      <c r="P96" s="12">
        <v>0</v>
      </c>
      <c r="Q96" s="12">
        <v>6</v>
      </c>
      <c r="R96" s="12">
        <v>8.73</v>
      </c>
      <c r="S96" s="12">
        <v>0.48599999999999999</v>
      </c>
      <c r="T96" s="12">
        <v>21</v>
      </c>
      <c r="U96" s="12">
        <v>0</v>
      </c>
      <c r="V96" s="12">
        <v>524</v>
      </c>
      <c r="W96" s="12">
        <v>29</v>
      </c>
      <c r="X96" s="12">
        <v>0.6462</v>
      </c>
      <c r="Y96" s="12">
        <v>0.2923</v>
      </c>
      <c r="Z96" s="12">
        <v>0.66149999999999998</v>
      </c>
      <c r="AA96" s="12">
        <v>0</v>
      </c>
      <c r="AB96" s="12">
        <v>0</v>
      </c>
      <c r="AC96" s="12">
        <v>5</v>
      </c>
      <c r="AD96" s="12">
        <v>5</v>
      </c>
      <c r="AE96" s="12">
        <v>0</v>
      </c>
      <c r="AF96" s="12">
        <v>0</v>
      </c>
      <c r="AG96" s="12">
        <v>45</v>
      </c>
    </row>
    <row r="97" spans="1:33" ht="15" x14ac:dyDescent="0.2">
      <c r="A97" s="12" t="s">
        <v>134</v>
      </c>
      <c r="B97" s="12" t="s">
        <v>30</v>
      </c>
      <c r="C97" s="12" t="s">
        <v>61</v>
      </c>
      <c r="D97" s="12" t="s">
        <v>32</v>
      </c>
      <c r="E97" s="12">
        <v>427</v>
      </c>
      <c r="F97" s="12">
        <v>61</v>
      </c>
      <c r="G97" s="12">
        <v>38</v>
      </c>
      <c r="H97" s="12">
        <v>21</v>
      </c>
      <c r="I97" s="12">
        <v>39</v>
      </c>
      <c r="J97" s="12">
        <v>0</v>
      </c>
      <c r="K97" s="12">
        <v>0</v>
      </c>
      <c r="L97" s="12">
        <v>0</v>
      </c>
      <c r="M97" s="12">
        <v>4</v>
      </c>
      <c r="N97" s="12">
        <v>5</v>
      </c>
      <c r="O97" s="12">
        <v>5</v>
      </c>
      <c r="P97" s="12">
        <v>0</v>
      </c>
      <c r="Q97" s="12">
        <v>5</v>
      </c>
      <c r="R97" s="12">
        <v>7.89</v>
      </c>
      <c r="S97" s="12">
        <v>0.35899999999999999</v>
      </c>
      <c r="T97" s="12">
        <v>21</v>
      </c>
      <c r="U97" s="12">
        <v>3</v>
      </c>
      <c r="V97" s="12">
        <v>473</v>
      </c>
      <c r="W97" s="12">
        <v>22</v>
      </c>
      <c r="X97" s="12">
        <v>0.623</v>
      </c>
      <c r="Y97" s="12">
        <v>0.34429999999999999</v>
      </c>
      <c r="Z97" s="12">
        <v>0.63929999999999998</v>
      </c>
      <c r="AA97" s="12">
        <v>0</v>
      </c>
      <c r="AB97" s="12">
        <v>0</v>
      </c>
      <c r="AC97" s="12">
        <v>4</v>
      </c>
      <c r="AD97" s="12">
        <v>5</v>
      </c>
      <c r="AE97" s="12">
        <v>0</v>
      </c>
      <c r="AF97" s="12">
        <v>0.1429</v>
      </c>
      <c r="AG97" s="12">
        <v>45</v>
      </c>
    </row>
    <row r="98" spans="1:33" ht="15" x14ac:dyDescent="0.2">
      <c r="A98" s="12" t="s">
        <v>135</v>
      </c>
      <c r="B98" s="12" t="s">
        <v>30</v>
      </c>
      <c r="C98" s="12" t="s">
        <v>61</v>
      </c>
      <c r="D98" s="12" t="s">
        <v>32</v>
      </c>
      <c r="E98" s="12">
        <v>459</v>
      </c>
      <c r="F98" s="12">
        <v>70</v>
      </c>
      <c r="G98" s="12">
        <v>56</v>
      </c>
      <c r="H98" s="12">
        <v>12</v>
      </c>
      <c r="I98" s="12">
        <v>57</v>
      </c>
      <c r="J98" s="12">
        <v>0</v>
      </c>
      <c r="K98" s="12">
        <v>0</v>
      </c>
      <c r="L98" s="12">
        <v>0</v>
      </c>
      <c r="M98" s="12">
        <v>6</v>
      </c>
      <c r="N98" s="12">
        <v>7</v>
      </c>
      <c r="O98" s="12">
        <v>8</v>
      </c>
      <c r="P98" s="12">
        <v>1</v>
      </c>
      <c r="Q98" s="12">
        <v>7</v>
      </c>
      <c r="R98" s="12">
        <v>5.58</v>
      </c>
      <c r="S98" s="12">
        <v>0.26700000000000002</v>
      </c>
      <c r="T98" s="12">
        <v>21</v>
      </c>
      <c r="U98" s="12">
        <v>0</v>
      </c>
      <c r="V98" s="12">
        <v>335</v>
      </c>
      <c r="W98" s="12">
        <v>16</v>
      </c>
      <c r="X98" s="12">
        <v>0.8</v>
      </c>
      <c r="Y98" s="12">
        <v>0.1714</v>
      </c>
      <c r="Z98" s="12">
        <v>0.81430000000000002</v>
      </c>
      <c r="AA98" s="12">
        <v>0</v>
      </c>
      <c r="AB98" s="12">
        <v>0</v>
      </c>
      <c r="AC98" s="12">
        <v>6</v>
      </c>
      <c r="AD98" s="12">
        <v>7</v>
      </c>
      <c r="AE98" s="12">
        <v>0.125</v>
      </c>
      <c r="AF98" s="12">
        <v>0</v>
      </c>
      <c r="AG98" s="12">
        <v>60</v>
      </c>
    </row>
    <row r="99" spans="1:33" ht="15" x14ac:dyDescent="0.2">
      <c r="A99" s="12" t="s">
        <v>136</v>
      </c>
      <c r="B99" s="12" t="s">
        <v>30</v>
      </c>
      <c r="C99" s="12" t="s">
        <v>61</v>
      </c>
      <c r="D99" s="12" t="s">
        <v>32</v>
      </c>
      <c r="E99" s="12">
        <v>368</v>
      </c>
      <c r="F99" s="12">
        <v>60</v>
      </c>
      <c r="G99" s="12">
        <v>49</v>
      </c>
      <c r="H99" s="12">
        <v>8</v>
      </c>
      <c r="I99" s="12">
        <v>50</v>
      </c>
      <c r="J99" s="12">
        <v>0</v>
      </c>
      <c r="K99" s="12">
        <v>0</v>
      </c>
      <c r="L99" s="12">
        <v>0</v>
      </c>
      <c r="M99" s="12">
        <v>1</v>
      </c>
      <c r="N99" s="12">
        <v>0</v>
      </c>
      <c r="O99" s="12">
        <v>4</v>
      </c>
      <c r="P99" s="12">
        <v>3</v>
      </c>
      <c r="Q99" s="12">
        <v>1</v>
      </c>
      <c r="R99" s="12">
        <v>9.3699999999999992</v>
      </c>
      <c r="S99" s="12">
        <v>0.57099999999999995</v>
      </c>
      <c r="T99" s="12">
        <v>21</v>
      </c>
      <c r="U99" s="12">
        <v>0</v>
      </c>
      <c r="V99" s="12">
        <v>562</v>
      </c>
      <c r="W99" s="12">
        <v>34</v>
      </c>
      <c r="X99" s="12">
        <v>0.81669999999999998</v>
      </c>
      <c r="Y99" s="12">
        <v>0.1333</v>
      </c>
      <c r="Z99" s="12">
        <v>0.83330000000000004</v>
      </c>
      <c r="AA99" s="12">
        <v>0</v>
      </c>
      <c r="AB99" s="12">
        <v>0</v>
      </c>
      <c r="AC99" s="12">
        <v>1</v>
      </c>
      <c r="AD99" s="12">
        <v>0</v>
      </c>
      <c r="AE99" s="12">
        <v>0.75</v>
      </c>
      <c r="AF99" s="12">
        <v>0</v>
      </c>
      <c r="AG99" s="12">
        <v>70</v>
      </c>
    </row>
    <row r="100" spans="1:33" ht="15" x14ac:dyDescent="0.2">
      <c r="A100" s="12" t="s">
        <v>137</v>
      </c>
      <c r="B100" s="12" t="s">
        <v>138</v>
      </c>
      <c r="C100" s="12" t="s">
        <v>139</v>
      </c>
      <c r="D100" s="12" t="s">
        <v>140</v>
      </c>
      <c r="E100" s="12">
        <v>441</v>
      </c>
      <c r="F100" s="12">
        <v>57</v>
      </c>
      <c r="G100" s="12">
        <v>49</v>
      </c>
      <c r="H100" s="12">
        <v>5</v>
      </c>
      <c r="I100" s="12">
        <v>50</v>
      </c>
      <c r="J100" s="12">
        <v>0</v>
      </c>
      <c r="K100" s="12">
        <v>0</v>
      </c>
      <c r="L100" s="12">
        <v>0</v>
      </c>
      <c r="M100" s="12">
        <v>2</v>
      </c>
      <c r="N100" s="12">
        <v>3</v>
      </c>
      <c r="O100" s="12">
        <v>7</v>
      </c>
      <c r="P100" s="12">
        <v>3</v>
      </c>
      <c r="Q100" s="12">
        <v>4</v>
      </c>
      <c r="R100" s="12">
        <v>2.5099999999999998</v>
      </c>
      <c r="S100" s="12">
        <v>0.13200000000000001</v>
      </c>
      <c r="T100" s="12">
        <v>19</v>
      </c>
      <c r="U100" s="12">
        <v>2</v>
      </c>
      <c r="V100" s="12">
        <v>150</v>
      </c>
      <c r="W100" s="12">
        <v>8</v>
      </c>
      <c r="X100" s="12">
        <v>0.85960000000000003</v>
      </c>
      <c r="Y100" s="12">
        <v>8.77E-2</v>
      </c>
      <c r="Z100" s="12">
        <v>0.87719999999999998</v>
      </c>
      <c r="AA100" s="12">
        <v>0</v>
      </c>
      <c r="AB100" s="12">
        <v>0</v>
      </c>
      <c r="AC100" s="12">
        <v>2</v>
      </c>
      <c r="AD100" s="12">
        <v>3</v>
      </c>
      <c r="AE100" s="12">
        <v>0.42859999999999998</v>
      </c>
      <c r="AF100" s="12">
        <v>0.1053</v>
      </c>
      <c r="AG100" s="12">
        <v>55</v>
      </c>
    </row>
    <row r="101" spans="1:33" ht="15" x14ac:dyDescent="0.2">
      <c r="A101" s="12" t="s">
        <v>141</v>
      </c>
      <c r="B101" s="12" t="s">
        <v>138</v>
      </c>
      <c r="C101" s="12" t="s">
        <v>139</v>
      </c>
      <c r="D101" s="12" t="s">
        <v>140</v>
      </c>
      <c r="E101" s="12">
        <v>424</v>
      </c>
      <c r="F101" s="12">
        <v>42</v>
      </c>
      <c r="G101" s="12">
        <v>38</v>
      </c>
      <c r="H101" s="12">
        <v>3</v>
      </c>
      <c r="I101" s="12">
        <v>37</v>
      </c>
      <c r="J101" s="12">
        <v>0</v>
      </c>
      <c r="K101" s="12">
        <v>0</v>
      </c>
      <c r="L101" s="12">
        <v>0</v>
      </c>
      <c r="M101" s="12">
        <v>3</v>
      </c>
      <c r="N101" s="12">
        <v>2</v>
      </c>
      <c r="O101" s="12">
        <v>8</v>
      </c>
      <c r="P101" s="12">
        <v>4</v>
      </c>
      <c r="Q101" s="12">
        <v>4</v>
      </c>
      <c r="R101" s="12">
        <v>3.44</v>
      </c>
      <c r="S101" s="12">
        <v>0.18099999999999999</v>
      </c>
      <c r="T101" s="12">
        <v>21</v>
      </c>
      <c r="U101" s="12">
        <v>2</v>
      </c>
      <c r="V101" s="12">
        <v>206</v>
      </c>
      <c r="W101" s="12">
        <v>11</v>
      </c>
      <c r="X101" s="12">
        <v>0.90480000000000005</v>
      </c>
      <c r="Y101" s="12">
        <v>7.1400000000000005E-2</v>
      </c>
      <c r="Z101" s="12">
        <v>0.88100000000000001</v>
      </c>
      <c r="AA101" s="12">
        <v>0</v>
      </c>
      <c r="AB101" s="12">
        <v>0</v>
      </c>
      <c r="AC101" s="12">
        <v>3</v>
      </c>
      <c r="AD101" s="12">
        <v>2</v>
      </c>
      <c r="AE101" s="12">
        <v>0.5</v>
      </c>
      <c r="AF101" s="12">
        <v>9.5200000000000007E-2</v>
      </c>
      <c r="AG101" s="12">
        <v>60</v>
      </c>
    </row>
    <row r="102" spans="1:33" ht="15" x14ac:dyDescent="0.2">
      <c r="A102" s="12" t="s">
        <v>142</v>
      </c>
      <c r="B102" s="12" t="s">
        <v>138</v>
      </c>
      <c r="C102" s="12" t="s">
        <v>139</v>
      </c>
      <c r="D102" s="12" t="s">
        <v>140</v>
      </c>
      <c r="E102" s="12">
        <v>353</v>
      </c>
      <c r="F102" s="12">
        <v>35</v>
      </c>
      <c r="G102" s="12">
        <v>31</v>
      </c>
      <c r="H102" s="12">
        <v>2</v>
      </c>
      <c r="I102" s="12">
        <v>33</v>
      </c>
      <c r="J102" s="12">
        <v>0</v>
      </c>
      <c r="K102" s="12">
        <v>0</v>
      </c>
      <c r="L102" s="12">
        <v>0</v>
      </c>
      <c r="M102" s="12">
        <v>2</v>
      </c>
      <c r="N102" s="12">
        <v>2</v>
      </c>
      <c r="O102" s="12">
        <v>9</v>
      </c>
      <c r="P102" s="12">
        <v>6</v>
      </c>
      <c r="Q102" s="12">
        <v>3</v>
      </c>
      <c r="R102" s="12">
        <v>3.17</v>
      </c>
      <c r="S102" s="12">
        <v>0.16400000000000001</v>
      </c>
      <c r="T102" s="12">
        <v>21</v>
      </c>
      <c r="U102" s="12">
        <v>0</v>
      </c>
      <c r="V102" s="12">
        <v>190</v>
      </c>
      <c r="W102" s="12">
        <v>10</v>
      </c>
      <c r="X102" s="12">
        <v>0.88570000000000004</v>
      </c>
      <c r="Y102" s="12">
        <v>5.7099999999999998E-2</v>
      </c>
      <c r="Z102" s="12">
        <v>0.94289999999999996</v>
      </c>
      <c r="AA102" s="12">
        <v>0</v>
      </c>
      <c r="AB102" s="12">
        <v>0</v>
      </c>
      <c r="AC102" s="12">
        <v>2</v>
      </c>
      <c r="AD102" s="12">
        <v>2</v>
      </c>
      <c r="AE102" s="12">
        <v>0.66669999999999996</v>
      </c>
      <c r="AF102" s="12">
        <v>0</v>
      </c>
      <c r="AG102" s="12">
        <v>60</v>
      </c>
    </row>
    <row r="103" spans="1:33" ht="15" x14ac:dyDescent="0.2">
      <c r="A103" s="12" t="s">
        <v>143</v>
      </c>
      <c r="B103" s="12" t="s">
        <v>30</v>
      </c>
      <c r="C103" s="12" t="s">
        <v>144</v>
      </c>
      <c r="D103" s="12" t="s">
        <v>39</v>
      </c>
      <c r="E103" s="12">
        <v>207</v>
      </c>
      <c r="F103" s="12">
        <v>16</v>
      </c>
      <c r="G103" s="12">
        <v>8</v>
      </c>
      <c r="H103" s="12">
        <v>6</v>
      </c>
      <c r="I103" s="12">
        <v>9</v>
      </c>
      <c r="J103" s="12">
        <v>0</v>
      </c>
      <c r="K103" s="12">
        <v>0</v>
      </c>
      <c r="L103" s="12">
        <v>0</v>
      </c>
      <c r="M103" s="12">
        <v>3</v>
      </c>
      <c r="N103" s="12">
        <v>2</v>
      </c>
      <c r="O103" s="12">
        <v>6</v>
      </c>
      <c r="P103" s="12">
        <v>2</v>
      </c>
      <c r="Q103" s="12">
        <v>4</v>
      </c>
      <c r="R103" s="12">
        <v>0</v>
      </c>
      <c r="S103" s="12">
        <v>0</v>
      </c>
      <c r="T103" s="12">
        <v>11</v>
      </c>
      <c r="U103" s="12">
        <v>0</v>
      </c>
      <c r="V103" s="12">
        <v>0</v>
      </c>
      <c r="W103" s="12">
        <v>0</v>
      </c>
      <c r="X103" s="12">
        <v>0.5</v>
      </c>
      <c r="Y103" s="12">
        <v>0.375</v>
      </c>
      <c r="Z103" s="12">
        <v>0.5625</v>
      </c>
      <c r="AA103" s="12">
        <v>0</v>
      </c>
      <c r="AB103" s="12">
        <v>0</v>
      </c>
      <c r="AC103" s="12">
        <v>3</v>
      </c>
      <c r="AD103" s="12">
        <v>2</v>
      </c>
      <c r="AE103" s="12">
        <v>0.33329999999999999</v>
      </c>
      <c r="AF103" s="12">
        <v>0</v>
      </c>
      <c r="AG103" s="12">
        <v>25</v>
      </c>
    </row>
    <row r="104" spans="1:33" ht="15" x14ac:dyDescent="0.2">
      <c r="A104" s="12" t="s">
        <v>145</v>
      </c>
      <c r="B104" s="12" t="s">
        <v>138</v>
      </c>
      <c r="C104" s="12" t="s">
        <v>146</v>
      </c>
      <c r="D104" s="12" t="s">
        <v>140</v>
      </c>
      <c r="E104" s="12">
        <v>284</v>
      </c>
      <c r="F104" s="12">
        <v>28</v>
      </c>
      <c r="G104" s="12">
        <v>24</v>
      </c>
      <c r="H104" s="12">
        <v>4</v>
      </c>
      <c r="I104" s="12">
        <v>22</v>
      </c>
      <c r="J104" s="12">
        <v>0</v>
      </c>
      <c r="K104" s="12">
        <v>0</v>
      </c>
      <c r="L104" s="12">
        <v>0</v>
      </c>
      <c r="M104" s="12">
        <v>1</v>
      </c>
      <c r="N104" s="12">
        <v>0</v>
      </c>
      <c r="O104" s="12">
        <v>6</v>
      </c>
      <c r="P104" s="12">
        <v>5</v>
      </c>
      <c r="Q104" s="12">
        <v>1</v>
      </c>
      <c r="R104" s="12">
        <v>4.04</v>
      </c>
      <c r="S104" s="12">
        <v>0.17399999999999999</v>
      </c>
      <c r="T104" s="12">
        <v>22</v>
      </c>
      <c r="U104" s="12">
        <v>2</v>
      </c>
      <c r="V104" s="12">
        <v>242</v>
      </c>
      <c r="W104" s="12">
        <v>10</v>
      </c>
      <c r="X104" s="12">
        <v>0.85709999999999997</v>
      </c>
      <c r="Y104" s="12">
        <v>0.1429</v>
      </c>
      <c r="Z104" s="12">
        <v>0.78569999999999995</v>
      </c>
      <c r="AA104" s="12">
        <v>0</v>
      </c>
      <c r="AB104" s="12">
        <v>0</v>
      </c>
      <c r="AC104" s="12">
        <v>1</v>
      </c>
      <c r="AD104" s="12">
        <v>0</v>
      </c>
      <c r="AE104" s="12">
        <v>0.83330000000000004</v>
      </c>
      <c r="AF104" s="12">
        <v>9.0899999999999995E-2</v>
      </c>
      <c r="AG104" s="12">
        <v>72</v>
      </c>
    </row>
    <row r="105" spans="1:33" ht="15" x14ac:dyDescent="0.2">
      <c r="A105" s="12" t="s">
        <v>147</v>
      </c>
      <c r="B105" s="12" t="s">
        <v>30</v>
      </c>
      <c r="C105" s="12" t="s">
        <v>144</v>
      </c>
      <c r="D105" s="12" t="s">
        <v>39</v>
      </c>
      <c r="E105" s="12">
        <v>170</v>
      </c>
      <c r="F105" s="12">
        <v>19</v>
      </c>
      <c r="G105" s="12">
        <v>8</v>
      </c>
      <c r="H105" s="12">
        <v>10</v>
      </c>
      <c r="I105" s="12">
        <v>7</v>
      </c>
      <c r="J105" s="12">
        <v>0</v>
      </c>
      <c r="K105" s="12">
        <v>0</v>
      </c>
      <c r="L105" s="12">
        <v>0</v>
      </c>
      <c r="M105" s="12">
        <v>4</v>
      </c>
      <c r="N105" s="12">
        <v>4</v>
      </c>
      <c r="O105" s="12">
        <v>4</v>
      </c>
      <c r="P105" s="12">
        <v>0</v>
      </c>
      <c r="Q105" s="12">
        <v>4</v>
      </c>
      <c r="R105" s="12">
        <v>1.02</v>
      </c>
      <c r="S105" s="12">
        <v>8.9999999999999993E-3</v>
      </c>
      <c r="T105" s="12">
        <v>11</v>
      </c>
      <c r="U105" s="12">
        <v>0</v>
      </c>
      <c r="V105" s="12">
        <v>61</v>
      </c>
      <c r="W105" s="12">
        <v>1</v>
      </c>
      <c r="X105" s="12">
        <v>0.42109999999999997</v>
      </c>
      <c r="Y105" s="12">
        <v>0.52629999999999999</v>
      </c>
      <c r="Z105" s="12">
        <v>0.36840000000000001</v>
      </c>
      <c r="AA105" s="12">
        <v>0</v>
      </c>
      <c r="AB105" s="12">
        <v>0</v>
      </c>
      <c r="AC105" s="12">
        <v>4</v>
      </c>
      <c r="AD105" s="12">
        <v>4</v>
      </c>
      <c r="AE105" s="12">
        <v>0</v>
      </c>
      <c r="AF105" s="12">
        <v>0</v>
      </c>
      <c r="AG105" s="12">
        <v>25</v>
      </c>
    </row>
    <row r="106" spans="1:33" ht="15" x14ac:dyDescent="0.2">
      <c r="A106" s="12" t="s">
        <v>148</v>
      </c>
      <c r="B106" s="12" t="s">
        <v>30</v>
      </c>
      <c r="C106" s="12" t="s">
        <v>144</v>
      </c>
      <c r="D106" s="12" t="s">
        <v>39</v>
      </c>
      <c r="E106" s="12">
        <v>183</v>
      </c>
      <c r="F106" s="12">
        <v>25</v>
      </c>
      <c r="G106" s="12">
        <v>14</v>
      </c>
      <c r="H106" s="12">
        <v>9</v>
      </c>
      <c r="I106" s="12">
        <v>14</v>
      </c>
      <c r="J106" s="12">
        <v>0</v>
      </c>
      <c r="K106" s="12">
        <v>0</v>
      </c>
      <c r="L106" s="12">
        <v>0</v>
      </c>
      <c r="M106" s="12">
        <v>1</v>
      </c>
      <c r="N106" s="12">
        <v>2</v>
      </c>
      <c r="O106" s="12">
        <v>6</v>
      </c>
      <c r="P106" s="12">
        <v>4</v>
      </c>
      <c r="Q106" s="12">
        <v>2</v>
      </c>
      <c r="R106" s="12">
        <v>0</v>
      </c>
      <c r="S106" s="12">
        <v>0</v>
      </c>
      <c r="T106" s="12">
        <v>11</v>
      </c>
      <c r="U106" s="12">
        <v>0</v>
      </c>
      <c r="V106" s="12">
        <v>0</v>
      </c>
      <c r="W106" s="12">
        <v>0</v>
      </c>
      <c r="X106" s="12">
        <v>0.56000000000000005</v>
      </c>
      <c r="Y106" s="12">
        <v>0.36</v>
      </c>
      <c r="Z106" s="12">
        <v>0.56000000000000005</v>
      </c>
      <c r="AA106" s="12">
        <v>0</v>
      </c>
      <c r="AB106" s="12">
        <v>0</v>
      </c>
      <c r="AC106" s="12">
        <v>1</v>
      </c>
      <c r="AD106" s="12">
        <v>2</v>
      </c>
      <c r="AE106" s="12">
        <v>0.66669999999999996</v>
      </c>
      <c r="AF106" s="12">
        <v>0</v>
      </c>
      <c r="AG106" s="12">
        <v>35</v>
      </c>
    </row>
    <row r="107" spans="1:33" ht="15" x14ac:dyDescent="0.2">
      <c r="A107" s="12" t="s">
        <v>149</v>
      </c>
      <c r="B107" s="12" t="s">
        <v>138</v>
      </c>
      <c r="C107" s="12" t="s">
        <v>146</v>
      </c>
      <c r="D107" s="12" t="s">
        <v>140</v>
      </c>
      <c r="E107" s="12">
        <v>248</v>
      </c>
      <c r="F107" s="12">
        <v>23</v>
      </c>
      <c r="G107" s="12">
        <v>23</v>
      </c>
      <c r="H107" s="12">
        <v>0</v>
      </c>
      <c r="I107" s="12">
        <v>22</v>
      </c>
      <c r="J107" s="12">
        <v>0</v>
      </c>
      <c r="K107" s="12">
        <v>0</v>
      </c>
      <c r="L107" s="12">
        <v>0</v>
      </c>
      <c r="M107" s="12">
        <v>1</v>
      </c>
      <c r="N107" s="12">
        <v>3</v>
      </c>
      <c r="O107" s="12">
        <v>8</v>
      </c>
      <c r="P107" s="12">
        <v>5</v>
      </c>
      <c r="Q107" s="12">
        <v>3</v>
      </c>
      <c r="R107" s="12">
        <v>2.71</v>
      </c>
      <c r="S107" s="12">
        <v>0.155</v>
      </c>
      <c r="T107" s="12">
        <v>20</v>
      </c>
      <c r="U107" s="12">
        <v>0</v>
      </c>
      <c r="V107" s="12">
        <v>163</v>
      </c>
      <c r="W107" s="12">
        <v>9</v>
      </c>
      <c r="X107" s="12">
        <v>1</v>
      </c>
      <c r="Y107" s="12">
        <v>0</v>
      </c>
      <c r="Z107" s="12">
        <v>0.95650000000000002</v>
      </c>
      <c r="AA107" s="12">
        <v>0</v>
      </c>
      <c r="AB107" s="12">
        <v>0</v>
      </c>
      <c r="AC107" s="12">
        <v>1</v>
      </c>
      <c r="AD107" s="12">
        <v>3</v>
      </c>
      <c r="AE107" s="12">
        <v>0.625</v>
      </c>
      <c r="AF107" s="12">
        <v>0</v>
      </c>
      <c r="AG107" s="12">
        <v>65</v>
      </c>
    </row>
    <row r="108" spans="1:33" ht="15" x14ac:dyDescent="0.2">
      <c r="A108" s="12" t="s">
        <v>150</v>
      </c>
      <c r="B108" s="12" t="s">
        <v>138</v>
      </c>
      <c r="C108" s="12" t="s">
        <v>146</v>
      </c>
      <c r="D108" s="12" t="s">
        <v>140</v>
      </c>
      <c r="E108" s="12">
        <v>346</v>
      </c>
      <c r="F108" s="12">
        <v>27</v>
      </c>
      <c r="G108" s="12">
        <v>21</v>
      </c>
      <c r="H108" s="12">
        <v>5</v>
      </c>
      <c r="I108" s="12">
        <v>18</v>
      </c>
      <c r="J108" s="12">
        <v>0</v>
      </c>
      <c r="K108" s="12">
        <v>0</v>
      </c>
      <c r="L108" s="12">
        <v>0</v>
      </c>
      <c r="M108" s="12">
        <v>3</v>
      </c>
      <c r="N108" s="12">
        <v>2</v>
      </c>
      <c r="O108" s="12">
        <v>5</v>
      </c>
      <c r="P108" s="12">
        <v>1</v>
      </c>
      <c r="Q108" s="12">
        <v>4</v>
      </c>
      <c r="R108" s="12">
        <v>4.22</v>
      </c>
      <c r="S108" s="12">
        <v>0.30399999999999999</v>
      </c>
      <c r="T108" s="12">
        <v>22</v>
      </c>
      <c r="U108" s="12">
        <v>0</v>
      </c>
      <c r="V108" s="12">
        <v>253</v>
      </c>
      <c r="W108" s="12">
        <v>18</v>
      </c>
      <c r="X108" s="12">
        <v>0.77780000000000005</v>
      </c>
      <c r="Y108" s="12">
        <v>0.1852</v>
      </c>
      <c r="Z108" s="12">
        <v>0.66669999999999996</v>
      </c>
      <c r="AA108" s="12">
        <v>0</v>
      </c>
      <c r="AB108" s="12">
        <v>0</v>
      </c>
      <c r="AC108" s="12">
        <v>3</v>
      </c>
      <c r="AD108" s="12">
        <v>2</v>
      </c>
      <c r="AE108" s="12">
        <v>0.2</v>
      </c>
      <c r="AF108" s="12">
        <v>0</v>
      </c>
      <c r="AG108" s="12">
        <v>25</v>
      </c>
    </row>
    <row r="109" spans="1:33" ht="15" x14ac:dyDescent="0.2">
      <c r="A109" s="12" t="s">
        <v>151</v>
      </c>
      <c r="B109" s="12" t="s">
        <v>30</v>
      </c>
      <c r="C109" s="12" t="s">
        <v>144</v>
      </c>
      <c r="D109" s="12" t="s">
        <v>39</v>
      </c>
      <c r="E109" s="12">
        <v>165</v>
      </c>
      <c r="F109" s="12">
        <v>23</v>
      </c>
      <c r="G109" s="12">
        <v>9</v>
      </c>
      <c r="H109" s="12">
        <v>13</v>
      </c>
      <c r="I109" s="12">
        <v>9</v>
      </c>
      <c r="J109" s="12">
        <v>0</v>
      </c>
      <c r="K109" s="12">
        <v>0</v>
      </c>
      <c r="L109" s="12">
        <v>0</v>
      </c>
      <c r="M109" s="12">
        <v>4</v>
      </c>
      <c r="N109" s="12">
        <v>2</v>
      </c>
      <c r="O109" s="12">
        <v>6</v>
      </c>
      <c r="P109" s="12">
        <v>2</v>
      </c>
      <c r="Q109" s="12">
        <v>4</v>
      </c>
      <c r="R109" s="12">
        <v>0</v>
      </c>
      <c r="S109" s="12">
        <v>0</v>
      </c>
      <c r="T109" s="12">
        <v>12</v>
      </c>
      <c r="U109" s="12">
        <v>3</v>
      </c>
      <c r="V109" s="12">
        <v>0</v>
      </c>
      <c r="W109" s="12">
        <v>0</v>
      </c>
      <c r="X109" s="12">
        <v>0.39129999999999998</v>
      </c>
      <c r="Y109" s="12">
        <v>0.56520000000000004</v>
      </c>
      <c r="Z109" s="12">
        <v>0.39129999999999998</v>
      </c>
      <c r="AA109" s="12">
        <v>0</v>
      </c>
      <c r="AB109" s="12">
        <v>0</v>
      </c>
      <c r="AC109" s="12">
        <v>4</v>
      </c>
      <c r="AD109" s="12">
        <v>2</v>
      </c>
      <c r="AE109" s="12">
        <v>0.33329999999999999</v>
      </c>
      <c r="AF109" s="12">
        <v>0.25</v>
      </c>
      <c r="AG109" s="12">
        <v>25</v>
      </c>
    </row>
    <row r="110" spans="1:33" ht="15" x14ac:dyDescent="0.2">
      <c r="A110" s="12" t="s">
        <v>152</v>
      </c>
      <c r="B110" s="12" t="s">
        <v>138</v>
      </c>
      <c r="C110" s="12" t="s">
        <v>139</v>
      </c>
      <c r="D110" s="12" t="s">
        <v>140</v>
      </c>
      <c r="E110" s="12">
        <v>330</v>
      </c>
      <c r="F110" s="12">
        <v>29</v>
      </c>
      <c r="G110" s="12">
        <v>23</v>
      </c>
      <c r="H110" s="12">
        <v>6</v>
      </c>
      <c r="I110" s="12">
        <v>21</v>
      </c>
      <c r="J110" s="12">
        <v>0</v>
      </c>
      <c r="K110" s="12">
        <v>0</v>
      </c>
      <c r="L110" s="12">
        <v>0</v>
      </c>
      <c r="M110" s="12">
        <v>5</v>
      </c>
      <c r="N110" s="12">
        <v>3</v>
      </c>
      <c r="O110" s="12">
        <v>7</v>
      </c>
      <c r="P110" s="12">
        <v>2</v>
      </c>
      <c r="Q110" s="12">
        <v>5</v>
      </c>
      <c r="R110" s="12">
        <v>3.69</v>
      </c>
      <c r="S110" s="12">
        <v>0.245</v>
      </c>
      <c r="T110" s="12">
        <v>21</v>
      </c>
      <c r="U110" s="12">
        <v>5</v>
      </c>
      <c r="V110" s="12">
        <v>222</v>
      </c>
      <c r="W110" s="12">
        <v>15</v>
      </c>
      <c r="X110" s="12">
        <v>0.79310000000000003</v>
      </c>
      <c r="Y110" s="12">
        <v>0.2069</v>
      </c>
      <c r="Z110" s="12">
        <v>0.72409999999999997</v>
      </c>
      <c r="AA110" s="12">
        <v>0</v>
      </c>
      <c r="AB110" s="12">
        <v>0</v>
      </c>
      <c r="AC110" s="12">
        <v>5</v>
      </c>
      <c r="AD110" s="12">
        <v>3</v>
      </c>
      <c r="AE110" s="12">
        <v>0.28570000000000001</v>
      </c>
      <c r="AF110" s="12">
        <v>0.23810000000000001</v>
      </c>
      <c r="AG110" s="12">
        <v>30</v>
      </c>
    </row>
    <row r="111" spans="1:33" ht="15" x14ac:dyDescent="0.2">
      <c r="A111" s="12" t="s">
        <v>153</v>
      </c>
      <c r="B111" s="12" t="s">
        <v>138</v>
      </c>
      <c r="C111" s="12" t="s">
        <v>154</v>
      </c>
      <c r="D111" s="12" t="s">
        <v>140</v>
      </c>
      <c r="E111" s="12">
        <v>230</v>
      </c>
      <c r="F111" s="12">
        <v>18</v>
      </c>
      <c r="G111" s="12">
        <v>18</v>
      </c>
      <c r="H111" s="12">
        <v>0</v>
      </c>
      <c r="I111" s="12">
        <v>18</v>
      </c>
      <c r="J111" s="12">
        <v>0</v>
      </c>
      <c r="K111" s="12">
        <v>0</v>
      </c>
      <c r="L111" s="12">
        <v>0</v>
      </c>
      <c r="M111" s="12">
        <v>3</v>
      </c>
      <c r="N111" s="12">
        <v>5</v>
      </c>
      <c r="O111" s="12">
        <v>8</v>
      </c>
      <c r="P111" s="12">
        <v>2</v>
      </c>
      <c r="Q111" s="12">
        <v>6</v>
      </c>
      <c r="R111" s="12">
        <v>4.3899999999999997</v>
      </c>
      <c r="S111" s="12">
        <v>0.19</v>
      </c>
      <c r="T111" s="12">
        <v>21</v>
      </c>
      <c r="U111" s="12">
        <v>1</v>
      </c>
      <c r="V111" s="12">
        <v>263</v>
      </c>
      <c r="W111" s="12">
        <v>11</v>
      </c>
      <c r="X111" s="12">
        <v>1</v>
      </c>
      <c r="Y111" s="12">
        <v>0</v>
      </c>
      <c r="Z111" s="12">
        <v>1</v>
      </c>
      <c r="AA111" s="12">
        <v>0</v>
      </c>
      <c r="AB111" s="12">
        <v>0</v>
      </c>
      <c r="AC111" s="12">
        <v>3</v>
      </c>
      <c r="AD111" s="12">
        <v>5</v>
      </c>
      <c r="AE111" s="12">
        <v>0.25</v>
      </c>
      <c r="AF111" s="12">
        <v>4.7600000000000003E-2</v>
      </c>
      <c r="AG111" s="12">
        <v>60</v>
      </c>
    </row>
    <row r="112" spans="1:33" ht="15" x14ac:dyDescent="0.2">
      <c r="A112" s="12" t="s">
        <v>155</v>
      </c>
      <c r="B112" s="12" t="s">
        <v>138</v>
      </c>
      <c r="C112" s="12" t="s">
        <v>139</v>
      </c>
      <c r="D112" s="12" t="s">
        <v>140</v>
      </c>
      <c r="E112" s="12">
        <v>356</v>
      </c>
      <c r="F112" s="12">
        <v>24</v>
      </c>
      <c r="G112" s="12">
        <v>22</v>
      </c>
      <c r="H112" s="12">
        <v>2</v>
      </c>
      <c r="I112" s="12">
        <v>20</v>
      </c>
      <c r="J112" s="12">
        <v>0</v>
      </c>
      <c r="K112" s="12">
        <v>0</v>
      </c>
      <c r="L112" s="12">
        <v>0</v>
      </c>
      <c r="M112" s="12">
        <v>3</v>
      </c>
      <c r="N112" s="12">
        <v>3</v>
      </c>
      <c r="O112" s="12">
        <v>5</v>
      </c>
      <c r="P112" s="12">
        <v>1</v>
      </c>
      <c r="Q112" s="12">
        <v>4</v>
      </c>
      <c r="R112" s="12">
        <v>3.94</v>
      </c>
      <c r="S112" s="12">
        <v>0.245</v>
      </c>
      <c r="T112" s="12">
        <v>21</v>
      </c>
      <c r="U112" s="12">
        <v>0</v>
      </c>
      <c r="V112" s="12">
        <v>236</v>
      </c>
      <c r="W112" s="12">
        <v>15</v>
      </c>
      <c r="X112" s="12">
        <v>0.91669999999999996</v>
      </c>
      <c r="Y112" s="12">
        <v>8.3299999999999999E-2</v>
      </c>
      <c r="Z112" s="12">
        <v>0.83330000000000004</v>
      </c>
      <c r="AA112" s="12">
        <v>0</v>
      </c>
      <c r="AB112" s="12">
        <v>0</v>
      </c>
      <c r="AC112" s="12">
        <v>3</v>
      </c>
      <c r="AD112" s="12">
        <v>3</v>
      </c>
      <c r="AE112" s="12">
        <v>0.2</v>
      </c>
      <c r="AF112" s="12">
        <v>0</v>
      </c>
      <c r="AG112" s="12">
        <v>60</v>
      </c>
    </row>
    <row r="113" spans="1:33" ht="15" x14ac:dyDescent="0.2">
      <c r="A113" s="12" t="s">
        <v>156</v>
      </c>
      <c r="B113" s="12" t="s">
        <v>138</v>
      </c>
      <c r="C113" s="12" t="s">
        <v>154</v>
      </c>
      <c r="D113" s="12" t="s">
        <v>140</v>
      </c>
      <c r="E113" s="12">
        <v>404</v>
      </c>
      <c r="F113" s="12">
        <v>47</v>
      </c>
      <c r="G113" s="12">
        <v>41</v>
      </c>
      <c r="H113" s="12">
        <v>5</v>
      </c>
      <c r="I113" s="12">
        <v>43</v>
      </c>
      <c r="J113" s="12">
        <v>0</v>
      </c>
      <c r="K113" s="12">
        <v>0</v>
      </c>
      <c r="L113" s="12">
        <v>0</v>
      </c>
      <c r="M113" s="12">
        <v>4</v>
      </c>
      <c r="N113" s="12">
        <v>4</v>
      </c>
      <c r="O113" s="12">
        <v>6</v>
      </c>
      <c r="P113" s="12">
        <v>1</v>
      </c>
      <c r="Q113" s="12">
        <v>5</v>
      </c>
      <c r="R113" s="12">
        <v>3.45</v>
      </c>
      <c r="S113" s="12">
        <v>0.17100000000000001</v>
      </c>
      <c r="T113" s="12">
        <v>21</v>
      </c>
      <c r="U113" s="12">
        <v>1</v>
      </c>
      <c r="V113" s="12">
        <v>207</v>
      </c>
      <c r="W113" s="12">
        <v>10</v>
      </c>
      <c r="X113" s="12">
        <v>0.87229999999999996</v>
      </c>
      <c r="Y113" s="12">
        <v>0.10639999999999999</v>
      </c>
      <c r="Z113" s="12">
        <v>0.91490000000000005</v>
      </c>
      <c r="AA113" s="12">
        <v>0</v>
      </c>
      <c r="AB113" s="12">
        <v>0</v>
      </c>
      <c r="AC113" s="12">
        <v>4</v>
      </c>
      <c r="AD113" s="12">
        <v>4</v>
      </c>
      <c r="AE113" s="12">
        <v>0.16669999999999999</v>
      </c>
      <c r="AF113" s="12">
        <v>4.7600000000000003E-2</v>
      </c>
      <c r="AG113" s="12">
        <v>55</v>
      </c>
    </row>
    <row r="114" spans="1:33" ht="15" x14ac:dyDescent="0.2">
      <c r="A114" s="12" t="s">
        <v>157</v>
      </c>
      <c r="B114" s="12" t="s">
        <v>138</v>
      </c>
      <c r="C114" s="12" t="s">
        <v>139</v>
      </c>
      <c r="D114" s="12" t="s">
        <v>140</v>
      </c>
      <c r="E114" s="12">
        <v>405</v>
      </c>
      <c r="F114" s="12">
        <v>41</v>
      </c>
      <c r="G114" s="12">
        <v>30</v>
      </c>
      <c r="H114" s="12">
        <v>9</v>
      </c>
      <c r="I114" s="12">
        <v>31</v>
      </c>
      <c r="J114" s="12">
        <v>0</v>
      </c>
      <c r="K114" s="12">
        <v>0</v>
      </c>
      <c r="L114" s="12">
        <v>0</v>
      </c>
      <c r="M114" s="12">
        <v>1</v>
      </c>
      <c r="N114" s="12">
        <v>1</v>
      </c>
      <c r="O114" s="12">
        <v>5</v>
      </c>
      <c r="P114" s="12">
        <v>4</v>
      </c>
      <c r="Q114" s="12">
        <v>1</v>
      </c>
      <c r="R114" s="12">
        <v>2.61</v>
      </c>
      <c r="S114" s="12">
        <v>0.186</v>
      </c>
      <c r="T114" s="12">
        <v>21</v>
      </c>
      <c r="U114" s="12">
        <v>1</v>
      </c>
      <c r="V114" s="12">
        <v>157</v>
      </c>
      <c r="W114" s="12">
        <v>11</v>
      </c>
      <c r="X114" s="12">
        <v>0.73170000000000002</v>
      </c>
      <c r="Y114" s="12">
        <v>0.2195</v>
      </c>
      <c r="Z114" s="12">
        <v>0.75609999999999999</v>
      </c>
      <c r="AA114" s="12">
        <v>0</v>
      </c>
      <c r="AB114" s="12">
        <v>0</v>
      </c>
      <c r="AC114" s="12">
        <v>1</v>
      </c>
      <c r="AD114" s="12">
        <v>1</v>
      </c>
      <c r="AE114" s="12">
        <v>0.8</v>
      </c>
      <c r="AF114" s="12">
        <v>4.7600000000000003E-2</v>
      </c>
      <c r="AG114" s="12">
        <v>47</v>
      </c>
    </row>
    <row r="115" spans="1:33" ht="15" x14ac:dyDescent="0.2">
      <c r="A115" s="12" t="s">
        <v>158</v>
      </c>
      <c r="B115" s="12" t="s">
        <v>138</v>
      </c>
      <c r="C115" s="12" t="s">
        <v>139</v>
      </c>
      <c r="D115" s="12" t="s">
        <v>140</v>
      </c>
      <c r="E115" s="12">
        <v>275</v>
      </c>
      <c r="F115" s="12">
        <v>18</v>
      </c>
      <c r="G115" s="12">
        <v>17</v>
      </c>
      <c r="H115" s="12">
        <v>1</v>
      </c>
      <c r="I115" s="12">
        <v>17</v>
      </c>
      <c r="J115" s="12">
        <v>0</v>
      </c>
      <c r="K115" s="12">
        <v>0</v>
      </c>
      <c r="L115" s="12">
        <v>0</v>
      </c>
      <c r="M115" s="12">
        <v>4</v>
      </c>
      <c r="N115" s="12">
        <v>3</v>
      </c>
      <c r="O115" s="12">
        <v>7</v>
      </c>
      <c r="P115" s="12">
        <v>1</v>
      </c>
      <c r="Q115" s="12">
        <v>6</v>
      </c>
      <c r="R115" s="12">
        <v>12.5</v>
      </c>
      <c r="S115" s="12">
        <v>0.112</v>
      </c>
      <c r="T115" s="12">
        <v>20</v>
      </c>
      <c r="U115" s="12">
        <v>3</v>
      </c>
      <c r="V115" s="12">
        <v>750</v>
      </c>
      <c r="W115" s="12">
        <v>7</v>
      </c>
      <c r="X115" s="12">
        <v>0.94440000000000002</v>
      </c>
      <c r="Y115" s="12">
        <v>5.5599999999999997E-2</v>
      </c>
      <c r="Z115" s="12">
        <v>0.94440000000000002</v>
      </c>
      <c r="AA115" s="12">
        <v>0</v>
      </c>
      <c r="AB115" s="12">
        <v>0</v>
      </c>
      <c r="AC115" s="12">
        <v>4</v>
      </c>
      <c r="AD115" s="12">
        <v>3</v>
      </c>
      <c r="AE115" s="12">
        <v>0.1429</v>
      </c>
      <c r="AF115" s="12">
        <v>0.15</v>
      </c>
      <c r="AG115" s="12">
        <v>45</v>
      </c>
    </row>
    <row r="116" spans="1:33" ht="15" x14ac:dyDescent="0.2">
      <c r="A116" s="12" t="s">
        <v>159</v>
      </c>
      <c r="B116" s="12" t="s">
        <v>30</v>
      </c>
      <c r="C116" s="12" t="s">
        <v>144</v>
      </c>
      <c r="D116" s="12" t="s">
        <v>39</v>
      </c>
      <c r="E116" s="12">
        <v>203</v>
      </c>
      <c r="F116" s="12">
        <v>43</v>
      </c>
      <c r="G116" s="12">
        <v>25</v>
      </c>
      <c r="H116" s="12">
        <v>11</v>
      </c>
      <c r="I116" s="12">
        <v>25</v>
      </c>
      <c r="J116" s="12">
        <v>0</v>
      </c>
      <c r="K116" s="12">
        <v>0</v>
      </c>
      <c r="L116" s="12">
        <v>0</v>
      </c>
      <c r="M116" s="12">
        <v>1</v>
      </c>
      <c r="N116" s="12">
        <v>2</v>
      </c>
      <c r="O116" s="12">
        <v>4</v>
      </c>
      <c r="P116" s="12">
        <v>2</v>
      </c>
      <c r="Q116" s="12">
        <v>2</v>
      </c>
      <c r="R116" s="12">
        <v>0.09</v>
      </c>
      <c r="S116" s="12">
        <v>7.0000000000000001E-3</v>
      </c>
      <c r="T116" s="12">
        <v>12</v>
      </c>
      <c r="U116" s="12">
        <v>0</v>
      </c>
      <c r="V116" s="12">
        <v>5</v>
      </c>
      <c r="W116" s="12">
        <v>0</v>
      </c>
      <c r="X116" s="12">
        <v>0.58140000000000003</v>
      </c>
      <c r="Y116" s="12">
        <v>0.25580000000000003</v>
      </c>
      <c r="Z116" s="12">
        <v>0.58140000000000003</v>
      </c>
      <c r="AA116" s="12">
        <v>0</v>
      </c>
      <c r="AB116" s="12">
        <v>0</v>
      </c>
      <c r="AC116" s="12">
        <v>1</v>
      </c>
      <c r="AD116" s="12">
        <v>2</v>
      </c>
      <c r="AE116" s="12">
        <v>0.5</v>
      </c>
      <c r="AF116" s="12">
        <v>0</v>
      </c>
      <c r="AG116" s="12">
        <v>35</v>
      </c>
    </row>
    <row r="117" spans="1:33" ht="15" x14ac:dyDescent="0.2">
      <c r="A117" s="12" t="s">
        <v>160</v>
      </c>
      <c r="B117" s="12" t="s">
        <v>30</v>
      </c>
      <c r="C117" s="12" t="s">
        <v>144</v>
      </c>
      <c r="D117" s="12" t="s">
        <v>39</v>
      </c>
      <c r="E117" s="12">
        <v>215</v>
      </c>
      <c r="F117" s="12">
        <v>22</v>
      </c>
      <c r="G117" s="12">
        <v>10</v>
      </c>
      <c r="H117" s="12">
        <v>11</v>
      </c>
      <c r="I117" s="12">
        <v>10</v>
      </c>
      <c r="J117" s="12">
        <v>0</v>
      </c>
      <c r="K117" s="12">
        <v>0</v>
      </c>
      <c r="L117" s="12">
        <v>0</v>
      </c>
      <c r="M117" s="12">
        <v>2</v>
      </c>
      <c r="N117" s="12">
        <v>1</v>
      </c>
      <c r="O117" s="12">
        <v>5</v>
      </c>
      <c r="P117" s="12">
        <v>3</v>
      </c>
      <c r="Q117" s="12">
        <v>2</v>
      </c>
      <c r="R117" s="12">
        <v>0</v>
      </c>
      <c r="S117" s="12">
        <v>0</v>
      </c>
      <c r="T117" s="12">
        <v>12</v>
      </c>
      <c r="U117" s="12">
        <v>0</v>
      </c>
      <c r="V117" s="12">
        <v>0</v>
      </c>
      <c r="W117" s="12">
        <v>0</v>
      </c>
      <c r="X117" s="12">
        <v>0.45450000000000002</v>
      </c>
      <c r="Y117" s="12">
        <v>0.5</v>
      </c>
      <c r="Z117" s="12">
        <v>0.45450000000000002</v>
      </c>
      <c r="AA117" s="12">
        <v>0</v>
      </c>
      <c r="AB117" s="12">
        <v>0</v>
      </c>
      <c r="AC117" s="12">
        <v>2</v>
      </c>
      <c r="AD117" s="12">
        <v>1</v>
      </c>
      <c r="AE117" s="12">
        <v>0.6</v>
      </c>
      <c r="AF117" s="12">
        <v>0</v>
      </c>
      <c r="AG117" s="12">
        <v>35</v>
      </c>
    </row>
    <row r="118" spans="1:33" ht="15" x14ac:dyDescent="0.2">
      <c r="A118" s="12" t="s">
        <v>161</v>
      </c>
      <c r="B118" s="12" t="s">
        <v>30</v>
      </c>
      <c r="C118" s="12" t="s">
        <v>144</v>
      </c>
      <c r="D118" s="12" t="s">
        <v>39</v>
      </c>
      <c r="E118" s="12">
        <v>235</v>
      </c>
      <c r="F118" s="12">
        <v>34</v>
      </c>
      <c r="G118" s="12">
        <v>16</v>
      </c>
      <c r="H118" s="12">
        <v>15</v>
      </c>
      <c r="I118" s="12">
        <v>15</v>
      </c>
      <c r="J118" s="12">
        <v>0</v>
      </c>
      <c r="K118" s="12">
        <v>0</v>
      </c>
      <c r="L118" s="12">
        <v>0</v>
      </c>
      <c r="M118" s="12">
        <v>3</v>
      </c>
      <c r="N118" s="12">
        <v>1</v>
      </c>
      <c r="O118" s="12">
        <v>5</v>
      </c>
      <c r="P118" s="12">
        <v>2</v>
      </c>
      <c r="Q118" s="12">
        <v>3</v>
      </c>
      <c r="R118" s="12">
        <v>0.38</v>
      </c>
      <c r="S118" s="12">
        <v>1.9E-2</v>
      </c>
      <c r="T118" s="12">
        <v>13</v>
      </c>
      <c r="U118" s="12">
        <v>0</v>
      </c>
      <c r="V118" s="12">
        <v>23</v>
      </c>
      <c r="W118" s="12">
        <v>1</v>
      </c>
      <c r="X118" s="12">
        <v>0.47060000000000002</v>
      </c>
      <c r="Y118" s="12">
        <v>0.44119999999999998</v>
      </c>
      <c r="Z118" s="12">
        <v>0.44119999999999998</v>
      </c>
      <c r="AA118" s="12">
        <v>0</v>
      </c>
      <c r="AB118" s="12">
        <v>0</v>
      </c>
      <c r="AC118" s="12">
        <v>3</v>
      </c>
      <c r="AD118" s="12">
        <v>1</v>
      </c>
      <c r="AE118" s="12">
        <v>0.4</v>
      </c>
      <c r="AF118" s="12">
        <v>0</v>
      </c>
      <c r="AG118" s="12">
        <v>30</v>
      </c>
    </row>
    <row r="119" spans="1:33" ht="15" x14ac:dyDescent="0.2">
      <c r="A119" s="12" t="s">
        <v>162</v>
      </c>
      <c r="B119" s="12" t="s">
        <v>30</v>
      </c>
      <c r="C119" s="12" t="s">
        <v>144</v>
      </c>
      <c r="D119" s="12" t="s">
        <v>39</v>
      </c>
      <c r="E119" s="12">
        <v>206</v>
      </c>
      <c r="F119" s="12">
        <v>22</v>
      </c>
      <c r="G119" s="12">
        <v>16</v>
      </c>
      <c r="H119" s="12">
        <v>4</v>
      </c>
      <c r="I119" s="12">
        <v>18</v>
      </c>
      <c r="J119" s="12">
        <v>0</v>
      </c>
      <c r="K119" s="12">
        <v>0</v>
      </c>
      <c r="L119" s="12">
        <v>0</v>
      </c>
      <c r="M119" s="12">
        <v>3</v>
      </c>
      <c r="N119" s="12">
        <v>2</v>
      </c>
      <c r="O119" s="12">
        <v>4</v>
      </c>
      <c r="P119" s="12">
        <v>1</v>
      </c>
      <c r="Q119" s="12">
        <v>3</v>
      </c>
      <c r="R119" s="12">
        <v>0</v>
      </c>
      <c r="S119" s="12">
        <v>0</v>
      </c>
      <c r="T119" s="12">
        <v>12</v>
      </c>
      <c r="U119" s="12">
        <v>0</v>
      </c>
      <c r="V119" s="12">
        <v>0</v>
      </c>
      <c r="W119" s="12">
        <v>0</v>
      </c>
      <c r="X119" s="12">
        <v>0.72729999999999995</v>
      </c>
      <c r="Y119" s="12">
        <v>0.18179999999999999</v>
      </c>
      <c r="Z119" s="12">
        <v>0.81820000000000004</v>
      </c>
      <c r="AA119" s="12">
        <v>0</v>
      </c>
      <c r="AB119" s="12">
        <v>0</v>
      </c>
      <c r="AC119" s="12">
        <v>3</v>
      </c>
      <c r="AD119" s="12">
        <v>2</v>
      </c>
      <c r="AE119" s="12">
        <v>0.25</v>
      </c>
      <c r="AF119" s="12">
        <v>0</v>
      </c>
      <c r="AG119" s="12">
        <v>60</v>
      </c>
    </row>
    <row r="120" spans="1:33" ht="15" x14ac:dyDescent="0.2">
      <c r="A120" s="12" t="s">
        <v>163</v>
      </c>
      <c r="B120" s="12" t="s">
        <v>30</v>
      </c>
      <c r="C120" s="12" t="s">
        <v>144</v>
      </c>
      <c r="D120" s="12" t="s">
        <v>39</v>
      </c>
      <c r="E120" s="12">
        <v>222</v>
      </c>
      <c r="F120" s="12">
        <v>24</v>
      </c>
      <c r="G120" s="12">
        <v>15</v>
      </c>
      <c r="H120" s="12">
        <v>7</v>
      </c>
      <c r="I120" s="12">
        <v>16</v>
      </c>
      <c r="J120" s="12">
        <v>0</v>
      </c>
      <c r="K120" s="12">
        <v>0</v>
      </c>
      <c r="L120" s="12">
        <v>0</v>
      </c>
      <c r="M120" s="12">
        <v>5</v>
      </c>
      <c r="N120" s="12">
        <v>3</v>
      </c>
      <c r="O120" s="12">
        <v>5</v>
      </c>
      <c r="P120" s="12">
        <v>0</v>
      </c>
      <c r="Q120" s="12">
        <v>5</v>
      </c>
      <c r="R120" s="12">
        <v>0.49</v>
      </c>
      <c r="S120" s="12">
        <v>3.6999999999999998E-2</v>
      </c>
      <c r="T120" s="12">
        <v>13</v>
      </c>
      <c r="U120" s="12">
        <v>0</v>
      </c>
      <c r="V120" s="12">
        <v>30</v>
      </c>
      <c r="W120" s="12">
        <v>2</v>
      </c>
      <c r="X120" s="12">
        <v>0.625</v>
      </c>
      <c r="Y120" s="12">
        <v>0.29170000000000001</v>
      </c>
      <c r="Z120" s="12">
        <v>0.66669999999999996</v>
      </c>
      <c r="AA120" s="12">
        <v>0</v>
      </c>
      <c r="AB120" s="12">
        <v>0</v>
      </c>
      <c r="AC120" s="12">
        <v>5</v>
      </c>
      <c r="AD120" s="12">
        <v>3</v>
      </c>
      <c r="AE120" s="12">
        <v>0</v>
      </c>
      <c r="AF120" s="12">
        <v>0</v>
      </c>
      <c r="AG120" s="12">
        <v>45</v>
      </c>
    </row>
    <row r="121" spans="1:33" ht="15" x14ac:dyDescent="0.2">
      <c r="A121" s="12" t="s">
        <v>164</v>
      </c>
      <c r="B121" s="12" t="s">
        <v>138</v>
      </c>
      <c r="C121" s="12" t="s">
        <v>154</v>
      </c>
      <c r="D121" s="12" t="s">
        <v>140</v>
      </c>
      <c r="E121" s="12">
        <v>350</v>
      </c>
      <c r="F121" s="12">
        <v>39</v>
      </c>
      <c r="G121" s="12">
        <v>33</v>
      </c>
      <c r="H121" s="12">
        <v>5</v>
      </c>
      <c r="I121" s="12">
        <v>33</v>
      </c>
      <c r="J121" s="12">
        <v>0</v>
      </c>
      <c r="K121" s="12">
        <v>0</v>
      </c>
      <c r="L121" s="12">
        <v>0</v>
      </c>
      <c r="M121" s="12">
        <v>1</v>
      </c>
      <c r="N121" s="12">
        <v>0</v>
      </c>
      <c r="O121" s="12">
        <v>5</v>
      </c>
      <c r="P121" s="12">
        <v>4</v>
      </c>
      <c r="Q121" s="12">
        <v>1</v>
      </c>
      <c r="R121" s="12">
        <v>4.07</v>
      </c>
      <c r="S121" s="12">
        <v>0.245</v>
      </c>
      <c r="T121" s="12">
        <v>20</v>
      </c>
      <c r="U121" s="12">
        <v>7</v>
      </c>
      <c r="V121" s="12">
        <v>244</v>
      </c>
      <c r="W121" s="12">
        <v>15</v>
      </c>
      <c r="X121" s="12">
        <v>0.84619999999999995</v>
      </c>
      <c r="Y121" s="12">
        <v>0.12820000000000001</v>
      </c>
      <c r="Z121" s="12">
        <v>0.84619999999999995</v>
      </c>
      <c r="AA121" s="12">
        <v>0</v>
      </c>
      <c r="AB121" s="12">
        <v>0</v>
      </c>
      <c r="AC121" s="12">
        <v>1</v>
      </c>
      <c r="AD121" s="12">
        <v>0</v>
      </c>
      <c r="AE121" s="12">
        <v>0.8</v>
      </c>
      <c r="AF121" s="12">
        <v>0.35</v>
      </c>
      <c r="AG121" s="12">
        <v>70</v>
      </c>
    </row>
    <row r="122" spans="1:33" ht="15" x14ac:dyDescent="0.2">
      <c r="A122" s="12" t="s">
        <v>165</v>
      </c>
      <c r="B122" s="12" t="s">
        <v>138</v>
      </c>
      <c r="C122" s="12" t="s">
        <v>154</v>
      </c>
      <c r="D122" s="12" t="s">
        <v>140</v>
      </c>
      <c r="E122" s="12">
        <v>357</v>
      </c>
      <c r="F122" s="12">
        <v>31</v>
      </c>
      <c r="G122" s="12">
        <v>23</v>
      </c>
      <c r="H122" s="12">
        <v>5</v>
      </c>
      <c r="I122" s="12">
        <v>23</v>
      </c>
      <c r="J122" s="12">
        <v>0</v>
      </c>
      <c r="K122" s="12">
        <v>0</v>
      </c>
      <c r="L122" s="12">
        <v>0</v>
      </c>
      <c r="M122" s="12">
        <v>4</v>
      </c>
      <c r="N122" s="12">
        <v>5</v>
      </c>
      <c r="O122" s="12">
        <v>7</v>
      </c>
      <c r="P122" s="12">
        <v>1</v>
      </c>
      <c r="Q122" s="12">
        <v>6</v>
      </c>
      <c r="R122" s="12">
        <v>1.85</v>
      </c>
      <c r="S122" s="12">
        <v>0.123</v>
      </c>
      <c r="T122" s="12">
        <v>20</v>
      </c>
      <c r="U122" s="12">
        <v>9</v>
      </c>
      <c r="V122" s="12">
        <v>111</v>
      </c>
      <c r="W122" s="12">
        <v>7</v>
      </c>
      <c r="X122" s="12">
        <v>0.7419</v>
      </c>
      <c r="Y122" s="12">
        <v>0.1613</v>
      </c>
      <c r="Z122" s="12">
        <v>0.7419</v>
      </c>
      <c r="AA122" s="12">
        <v>0</v>
      </c>
      <c r="AB122" s="12">
        <v>0</v>
      </c>
      <c r="AC122" s="12">
        <v>4</v>
      </c>
      <c r="AD122" s="12">
        <v>5</v>
      </c>
      <c r="AE122" s="12">
        <v>0.1429</v>
      </c>
      <c r="AF122" s="12">
        <v>0.45</v>
      </c>
      <c r="AG122" s="12">
        <v>30</v>
      </c>
    </row>
    <row r="123" spans="1:33" ht="15" x14ac:dyDescent="0.2">
      <c r="A123" s="12" t="s">
        <v>166</v>
      </c>
      <c r="B123" s="12" t="s">
        <v>138</v>
      </c>
      <c r="C123" s="12" t="s">
        <v>154</v>
      </c>
      <c r="D123" s="12" t="s">
        <v>140</v>
      </c>
      <c r="E123" s="12">
        <v>511</v>
      </c>
      <c r="F123" s="12">
        <v>38</v>
      </c>
      <c r="G123" s="12">
        <v>34</v>
      </c>
      <c r="H123" s="12">
        <v>3</v>
      </c>
      <c r="I123" s="12">
        <v>32</v>
      </c>
      <c r="J123" s="12">
        <v>0</v>
      </c>
      <c r="K123" s="12">
        <v>0</v>
      </c>
      <c r="L123" s="12">
        <v>0</v>
      </c>
      <c r="M123" s="12">
        <v>3</v>
      </c>
      <c r="N123" s="12">
        <v>1</v>
      </c>
      <c r="O123" s="12">
        <v>6</v>
      </c>
      <c r="P123" s="12">
        <v>2</v>
      </c>
      <c r="Q123" s="12">
        <v>4</v>
      </c>
      <c r="R123" s="12">
        <v>4.26</v>
      </c>
      <c r="S123" s="12">
        <v>0.17100000000000001</v>
      </c>
      <c r="T123" s="12">
        <v>21</v>
      </c>
      <c r="U123" s="12">
        <v>4</v>
      </c>
      <c r="V123" s="12">
        <v>256</v>
      </c>
      <c r="W123" s="12">
        <v>10</v>
      </c>
      <c r="X123" s="12">
        <v>0.89470000000000005</v>
      </c>
      <c r="Y123" s="12">
        <v>7.8899999999999998E-2</v>
      </c>
      <c r="Z123" s="12">
        <v>0.84209999999999996</v>
      </c>
      <c r="AA123" s="12">
        <v>0</v>
      </c>
      <c r="AB123" s="12">
        <v>0</v>
      </c>
      <c r="AC123" s="12">
        <v>3</v>
      </c>
      <c r="AD123" s="12">
        <v>1</v>
      </c>
      <c r="AE123" s="12">
        <v>0.33329999999999999</v>
      </c>
      <c r="AF123" s="12">
        <v>0.1905</v>
      </c>
      <c r="AG123" s="12">
        <v>60</v>
      </c>
    </row>
    <row r="124" spans="1:33" ht="15" x14ac:dyDescent="0.2">
      <c r="A124" s="12" t="s">
        <v>167</v>
      </c>
      <c r="B124" s="12" t="s">
        <v>138</v>
      </c>
      <c r="C124" s="12" t="s">
        <v>154</v>
      </c>
      <c r="D124" s="12" t="s">
        <v>140</v>
      </c>
      <c r="E124" s="12">
        <v>503</v>
      </c>
      <c r="F124" s="12">
        <v>42</v>
      </c>
      <c r="G124" s="12">
        <v>27</v>
      </c>
      <c r="H124" s="12">
        <v>11</v>
      </c>
      <c r="I124" s="12">
        <v>29</v>
      </c>
      <c r="J124" s="12">
        <v>0</v>
      </c>
      <c r="K124" s="12">
        <v>0</v>
      </c>
      <c r="L124" s="12">
        <v>0</v>
      </c>
      <c r="M124" s="12">
        <v>5</v>
      </c>
      <c r="N124" s="12">
        <v>1</v>
      </c>
      <c r="O124" s="12">
        <v>9</v>
      </c>
      <c r="P124" s="12">
        <v>4</v>
      </c>
      <c r="Q124" s="12">
        <v>5</v>
      </c>
      <c r="R124" s="12">
        <v>3.98</v>
      </c>
      <c r="S124" s="12">
        <v>0.20699999999999999</v>
      </c>
      <c r="T124" s="12">
        <v>20</v>
      </c>
      <c r="U124" s="12">
        <v>2</v>
      </c>
      <c r="V124" s="12">
        <v>239</v>
      </c>
      <c r="W124" s="12">
        <v>12</v>
      </c>
      <c r="X124" s="12">
        <v>0.64290000000000003</v>
      </c>
      <c r="Y124" s="12">
        <v>0.26190000000000002</v>
      </c>
      <c r="Z124" s="12">
        <v>0.6905</v>
      </c>
      <c r="AA124" s="12">
        <v>0</v>
      </c>
      <c r="AB124" s="12">
        <v>0</v>
      </c>
      <c r="AC124" s="12">
        <v>5</v>
      </c>
      <c r="AD124" s="12">
        <v>1</v>
      </c>
      <c r="AE124" s="12">
        <v>0.44440000000000002</v>
      </c>
      <c r="AF124" s="12">
        <v>0.1</v>
      </c>
      <c r="AG124" s="12">
        <v>25</v>
      </c>
    </row>
    <row r="125" spans="1:33" ht="15" x14ac:dyDescent="0.2">
      <c r="A125" s="12" t="s">
        <v>168</v>
      </c>
      <c r="B125" s="12" t="s">
        <v>138</v>
      </c>
      <c r="C125" s="12" t="s">
        <v>154</v>
      </c>
      <c r="D125" s="12" t="s">
        <v>140</v>
      </c>
      <c r="E125" s="12">
        <v>544</v>
      </c>
      <c r="F125" s="12">
        <v>30</v>
      </c>
      <c r="G125" s="12">
        <v>22</v>
      </c>
      <c r="H125" s="12">
        <v>8</v>
      </c>
      <c r="I125" s="12">
        <v>25</v>
      </c>
      <c r="J125" s="12">
        <v>0</v>
      </c>
      <c r="K125" s="12">
        <v>0</v>
      </c>
      <c r="L125" s="12">
        <v>0</v>
      </c>
      <c r="M125" s="12">
        <v>3</v>
      </c>
      <c r="N125" s="12">
        <v>2</v>
      </c>
      <c r="O125" s="12">
        <v>7</v>
      </c>
      <c r="P125" s="12">
        <v>4</v>
      </c>
      <c r="Q125" s="12">
        <v>3</v>
      </c>
      <c r="R125" s="12">
        <v>3.3</v>
      </c>
      <c r="S125" s="12">
        <v>0.182</v>
      </c>
      <c r="T125" s="12">
        <v>21</v>
      </c>
      <c r="U125" s="12">
        <v>1</v>
      </c>
      <c r="V125" s="12">
        <v>198</v>
      </c>
      <c r="W125" s="12">
        <v>11</v>
      </c>
      <c r="X125" s="12">
        <v>0.73329999999999995</v>
      </c>
      <c r="Y125" s="12">
        <v>0.26669999999999999</v>
      </c>
      <c r="Z125" s="12">
        <v>0.83330000000000004</v>
      </c>
      <c r="AA125" s="12">
        <v>0</v>
      </c>
      <c r="AB125" s="12">
        <v>0</v>
      </c>
      <c r="AC125" s="12">
        <v>3</v>
      </c>
      <c r="AD125" s="12">
        <v>2</v>
      </c>
      <c r="AE125" s="12">
        <v>0.57140000000000002</v>
      </c>
      <c r="AF125" s="12">
        <v>4.7600000000000003E-2</v>
      </c>
      <c r="AG125" s="12">
        <v>35</v>
      </c>
    </row>
    <row r="126" spans="1:33" ht="15" x14ac:dyDescent="0.2">
      <c r="A126" s="12" t="s">
        <v>169</v>
      </c>
      <c r="B126" s="12" t="s">
        <v>138</v>
      </c>
      <c r="C126" s="12" t="s">
        <v>154</v>
      </c>
      <c r="D126" s="12" t="s">
        <v>140</v>
      </c>
      <c r="E126" s="12">
        <v>555</v>
      </c>
      <c r="F126" s="12">
        <v>27</v>
      </c>
      <c r="G126" s="12">
        <v>20</v>
      </c>
      <c r="H126" s="12">
        <v>6</v>
      </c>
      <c r="I126" s="12">
        <v>17</v>
      </c>
      <c r="J126" s="12">
        <v>0</v>
      </c>
      <c r="K126" s="12">
        <v>0</v>
      </c>
      <c r="L126" s="12">
        <v>0</v>
      </c>
      <c r="M126" s="12">
        <v>4</v>
      </c>
      <c r="N126" s="12">
        <v>4</v>
      </c>
      <c r="O126" s="12">
        <v>7</v>
      </c>
      <c r="P126" s="12">
        <v>2</v>
      </c>
      <c r="Q126" s="12">
        <v>5</v>
      </c>
      <c r="R126" s="12">
        <v>3.24</v>
      </c>
      <c r="S126" s="12">
        <v>0.16600000000000001</v>
      </c>
      <c r="T126" s="12">
        <v>20</v>
      </c>
      <c r="U126" s="12">
        <v>1</v>
      </c>
      <c r="V126" s="12">
        <v>194</v>
      </c>
      <c r="W126" s="12">
        <v>10</v>
      </c>
      <c r="X126" s="12">
        <v>0.74070000000000003</v>
      </c>
      <c r="Y126" s="12">
        <v>0.22220000000000001</v>
      </c>
      <c r="Z126" s="12">
        <v>0.62960000000000005</v>
      </c>
      <c r="AA126" s="12">
        <v>0</v>
      </c>
      <c r="AB126" s="12">
        <v>0</v>
      </c>
      <c r="AC126" s="12">
        <v>4</v>
      </c>
      <c r="AD126" s="12">
        <v>4</v>
      </c>
      <c r="AE126" s="12">
        <v>0.28570000000000001</v>
      </c>
      <c r="AF126" s="12">
        <v>0.05</v>
      </c>
      <c r="AG126" s="12">
        <v>25</v>
      </c>
    </row>
    <row r="127" spans="1:33" ht="15" x14ac:dyDescent="0.2">
      <c r="A127" s="12" t="s">
        <v>170</v>
      </c>
      <c r="B127" s="12" t="s">
        <v>138</v>
      </c>
      <c r="C127" s="12" t="s">
        <v>154</v>
      </c>
      <c r="D127" s="12" t="s">
        <v>140</v>
      </c>
      <c r="E127" s="12">
        <v>488</v>
      </c>
      <c r="F127" s="12">
        <v>37</v>
      </c>
      <c r="G127" s="12">
        <v>30</v>
      </c>
      <c r="H127" s="12">
        <v>4</v>
      </c>
      <c r="I127" s="12">
        <v>29</v>
      </c>
      <c r="J127" s="12">
        <v>0</v>
      </c>
      <c r="K127" s="12">
        <v>0</v>
      </c>
      <c r="L127" s="12">
        <v>0</v>
      </c>
      <c r="M127" s="12">
        <v>2</v>
      </c>
      <c r="N127" s="12">
        <v>1</v>
      </c>
      <c r="O127" s="12">
        <v>5</v>
      </c>
      <c r="P127" s="12">
        <v>3</v>
      </c>
      <c r="Q127" s="12">
        <v>2</v>
      </c>
      <c r="R127" s="12">
        <v>4.83</v>
      </c>
      <c r="S127" s="12">
        <v>0.30399999999999999</v>
      </c>
      <c r="T127" s="12">
        <v>20</v>
      </c>
      <c r="U127" s="12">
        <v>2</v>
      </c>
      <c r="V127" s="12">
        <v>290</v>
      </c>
      <c r="W127" s="12">
        <v>18</v>
      </c>
      <c r="X127" s="12">
        <v>0.81079999999999997</v>
      </c>
      <c r="Y127" s="12">
        <v>0.1081</v>
      </c>
      <c r="Z127" s="12">
        <v>0.78380000000000005</v>
      </c>
      <c r="AA127" s="12">
        <v>0</v>
      </c>
      <c r="AB127" s="12">
        <v>0</v>
      </c>
      <c r="AC127" s="12">
        <v>2</v>
      </c>
      <c r="AD127" s="12">
        <v>1</v>
      </c>
      <c r="AE127" s="12">
        <v>0.6</v>
      </c>
      <c r="AF127" s="12">
        <v>0.1</v>
      </c>
      <c r="AG127" s="12">
        <v>57</v>
      </c>
    </row>
    <row r="128" spans="1:33" ht="15" x14ac:dyDescent="0.2">
      <c r="A128" s="12" t="s">
        <v>171</v>
      </c>
      <c r="B128" s="12" t="s">
        <v>138</v>
      </c>
      <c r="C128" s="12" t="s">
        <v>154</v>
      </c>
      <c r="D128" s="12" t="s">
        <v>140</v>
      </c>
      <c r="E128" s="12">
        <v>498</v>
      </c>
      <c r="F128" s="12">
        <v>37</v>
      </c>
      <c r="G128" s="12">
        <v>31</v>
      </c>
      <c r="H128" s="12">
        <v>4</v>
      </c>
      <c r="I128" s="12">
        <v>30</v>
      </c>
      <c r="J128" s="12">
        <v>0</v>
      </c>
      <c r="K128" s="12">
        <v>0</v>
      </c>
      <c r="L128" s="12">
        <v>0</v>
      </c>
      <c r="M128" s="12">
        <v>2</v>
      </c>
      <c r="N128" s="12">
        <v>0</v>
      </c>
      <c r="O128" s="12">
        <v>6</v>
      </c>
      <c r="P128" s="12">
        <v>4</v>
      </c>
      <c r="Q128" s="12">
        <v>2</v>
      </c>
      <c r="R128" s="12">
        <v>2.2400000000000002</v>
      </c>
      <c r="S128" s="12">
        <v>0.152</v>
      </c>
      <c r="T128" s="12">
        <v>20</v>
      </c>
      <c r="U128" s="12">
        <v>3</v>
      </c>
      <c r="V128" s="12">
        <v>134</v>
      </c>
      <c r="W128" s="12">
        <v>9</v>
      </c>
      <c r="X128" s="12">
        <v>0.83779999999999999</v>
      </c>
      <c r="Y128" s="12">
        <v>0.1081</v>
      </c>
      <c r="Z128" s="12">
        <v>0.81079999999999997</v>
      </c>
      <c r="AA128" s="12">
        <v>0</v>
      </c>
      <c r="AB128" s="12">
        <v>0</v>
      </c>
      <c r="AC128" s="12">
        <v>2</v>
      </c>
      <c r="AD128" s="12">
        <v>0</v>
      </c>
      <c r="AE128" s="12">
        <v>0.66669999999999996</v>
      </c>
      <c r="AF128" s="12">
        <v>0.15</v>
      </c>
      <c r="AG128" s="12">
        <v>65</v>
      </c>
    </row>
    <row r="129" spans="1:33" ht="15" x14ac:dyDescent="0.2">
      <c r="A129" s="12" t="s">
        <v>172</v>
      </c>
      <c r="B129" s="12" t="s">
        <v>138</v>
      </c>
      <c r="C129" s="12" t="s">
        <v>154</v>
      </c>
      <c r="D129" s="12" t="s">
        <v>140</v>
      </c>
      <c r="E129" s="12">
        <v>515</v>
      </c>
      <c r="F129" s="12">
        <v>51</v>
      </c>
      <c r="G129" s="12">
        <v>37</v>
      </c>
      <c r="H129" s="12">
        <v>7</v>
      </c>
      <c r="I129" s="12">
        <v>43</v>
      </c>
      <c r="J129" s="12">
        <v>0</v>
      </c>
      <c r="K129" s="12">
        <v>0</v>
      </c>
      <c r="L129" s="12">
        <v>0</v>
      </c>
      <c r="M129" s="12">
        <v>5</v>
      </c>
      <c r="N129" s="12">
        <v>6</v>
      </c>
      <c r="O129" s="12">
        <v>10</v>
      </c>
      <c r="P129" s="12">
        <v>2</v>
      </c>
      <c r="Q129" s="12">
        <v>8</v>
      </c>
      <c r="R129" s="12">
        <v>3.92</v>
      </c>
      <c r="S129" s="12">
        <v>0.26400000000000001</v>
      </c>
      <c r="T129" s="12">
        <v>20</v>
      </c>
      <c r="U129" s="12">
        <v>0</v>
      </c>
      <c r="V129" s="12">
        <v>235</v>
      </c>
      <c r="W129" s="12">
        <v>16</v>
      </c>
      <c r="X129" s="12">
        <v>0.72550000000000003</v>
      </c>
      <c r="Y129" s="12">
        <v>0.13730000000000001</v>
      </c>
      <c r="Z129" s="12">
        <v>0.84309999999999996</v>
      </c>
      <c r="AA129" s="12">
        <v>0</v>
      </c>
      <c r="AB129" s="12">
        <v>0</v>
      </c>
      <c r="AC129" s="12">
        <v>5</v>
      </c>
      <c r="AD129" s="12">
        <v>6</v>
      </c>
      <c r="AE129" s="12">
        <v>0.2</v>
      </c>
      <c r="AF129" s="12">
        <v>0</v>
      </c>
      <c r="AG129" s="12">
        <v>35</v>
      </c>
    </row>
    <row r="130" spans="1:33" ht="15" x14ac:dyDescent="0.2">
      <c r="A130" s="12" t="s">
        <v>173</v>
      </c>
      <c r="B130" s="12" t="s">
        <v>138</v>
      </c>
      <c r="C130" s="12" t="s">
        <v>154</v>
      </c>
      <c r="D130" s="12" t="s">
        <v>140</v>
      </c>
      <c r="E130" s="12">
        <v>521</v>
      </c>
      <c r="F130" s="12">
        <v>36</v>
      </c>
      <c r="G130" s="12">
        <v>29</v>
      </c>
      <c r="H130" s="12">
        <v>5</v>
      </c>
      <c r="I130" s="12">
        <v>26</v>
      </c>
      <c r="J130" s="12">
        <v>0</v>
      </c>
      <c r="K130" s="12">
        <v>0</v>
      </c>
      <c r="L130" s="12">
        <v>0</v>
      </c>
      <c r="M130" s="12">
        <v>5</v>
      </c>
      <c r="N130" s="12">
        <v>3</v>
      </c>
      <c r="O130" s="12">
        <v>8</v>
      </c>
      <c r="P130" s="12">
        <v>2</v>
      </c>
      <c r="Q130" s="12">
        <v>6</v>
      </c>
      <c r="R130" s="12">
        <v>4.3</v>
      </c>
      <c r="S130" s="12">
        <v>0.17</v>
      </c>
      <c r="T130" s="12">
        <v>20</v>
      </c>
      <c r="U130" s="12">
        <v>1</v>
      </c>
      <c r="V130" s="12">
        <v>258</v>
      </c>
      <c r="W130" s="12">
        <v>10</v>
      </c>
      <c r="X130" s="12">
        <v>0.80559999999999998</v>
      </c>
      <c r="Y130" s="12">
        <v>0.1389</v>
      </c>
      <c r="Z130" s="12">
        <v>0.72219999999999995</v>
      </c>
      <c r="AA130" s="12">
        <v>0</v>
      </c>
      <c r="AB130" s="12">
        <v>0</v>
      </c>
      <c r="AC130" s="12">
        <v>5</v>
      </c>
      <c r="AD130" s="12">
        <v>3</v>
      </c>
      <c r="AE130" s="12">
        <v>0.25</v>
      </c>
      <c r="AF130" s="12">
        <v>0.05</v>
      </c>
      <c r="AG130" s="12">
        <v>45</v>
      </c>
    </row>
    <row r="131" spans="1:33" ht="15" x14ac:dyDescent="0.2">
      <c r="A131" s="12" t="s">
        <v>174</v>
      </c>
      <c r="B131" s="12" t="s">
        <v>138</v>
      </c>
      <c r="C131" s="12" t="s">
        <v>154</v>
      </c>
      <c r="D131" s="12" t="s">
        <v>140</v>
      </c>
      <c r="E131" s="12">
        <v>477</v>
      </c>
      <c r="F131" s="12">
        <v>40</v>
      </c>
      <c r="G131" s="12">
        <v>34</v>
      </c>
      <c r="H131" s="12">
        <v>6</v>
      </c>
      <c r="I131" s="12">
        <v>31</v>
      </c>
      <c r="J131" s="12">
        <v>0</v>
      </c>
      <c r="K131" s="12">
        <v>0</v>
      </c>
      <c r="L131" s="12">
        <v>0</v>
      </c>
      <c r="M131" s="12">
        <v>1</v>
      </c>
      <c r="N131" s="12">
        <v>1</v>
      </c>
      <c r="O131" s="12">
        <v>9</v>
      </c>
      <c r="P131" s="12">
        <v>7</v>
      </c>
      <c r="Q131" s="12">
        <v>2</v>
      </c>
      <c r="R131" s="12">
        <v>3.3</v>
      </c>
      <c r="S131" s="12">
        <v>0.17499999999999999</v>
      </c>
      <c r="T131" s="12">
        <v>20</v>
      </c>
      <c r="U131" s="12">
        <v>1</v>
      </c>
      <c r="V131" s="12">
        <v>198</v>
      </c>
      <c r="W131" s="12">
        <v>10</v>
      </c>
      <c r="X131" s="12">
        <v>0.85</v>
      </c>
      <c r="Y131" s="12">
        <v>0.15</v>
      </c>
      <c r="Z131" s="12">
        <v>0.77500000000000002</v>
      </c>
      <c r="AA131" s="12">
        <v>0</v>
      </c>
      <c r="AB131" s="12">
        <v>0</v>
      </c>
      <c r="AC131" s="12">
        <v>1</v>
      </c>
      <c r="AD131" s="12">
        <v>1</v>
      </c>
      <c r="AE131" s="12">
        <v>0.77780000000000005</v>
      </c>
      <c r="AF131" s="12">
        <v>0.05</v>
      </c>
      <c r="AG131" s="12">
        <v>67</v>
      </c>
    </row>
    <row r="132" spans="1:33" ht="15" x14ac:dyDescent="0.2">
      <c r="A132" s="12" t="s">
        <v>175</v>
      </c>
      <c r="B132" s="12" t="s">
        <v>138</v>
      </c>
      <c r="C132" s="12" t="s">
        <v>154</v>
      </c>
      <c r="D132" s="12" t="s">
        <v>140</v>
      </c>
      <c r="E132" s="12">
        <v>498</v>
      </c>
      <c r="F132" s="12">
        <v>34</v>
      </c>
      <c r="G132" s="12">
        <v>26</v>
      </c>
      <c r="H132" s="12">
        <v>7</v>
      </c>
      <c r="I132" s="12">
        <v>27</v>
      </c>
      <c r="J132" s="12">
        <v>0</v>
      </c>
      <c r="K132" s="12">
        <v>0</v>
      </c>
      <c r="L132" s="12">
        <v>0</v>
      </c>
      <c r="M132" s="12">
        <v>3</v>
      </c>
      <c r="N132" s="12">
        <v>1</v>
      </c>
      <c r="O132" s="12">
        <v>8</v>
      </c>
      <c r="P132" s="12">
        <v>5</v>
      </c>
      <c r="Q132" s="12">
        <v>3</v>
      </c>
      <c r="R132" s="12">
        <v>2.64</v>
      </c>
      <c r="S132" s="12">
        <v>0.16500000000000001</v>
      </c>
      <c r="T132" s="12">
        <v>21</v>
      </c>
      <c r="U132" s="12">
        <v>2</v>
      </c>
      <c r="V132" s="12">
        <v>158</v>
      </c>
      <c r="W132" s="12">
        <v>10</v>
      </c>
      <c r="X132" s="12">
        <v>0.76470000000000005</v>
      </c>
      <c r="Y132" s="12">
        <v>0.2059</v>
      </c>
      <c r="Z132" s="12">
        <v>0.79410000000000003</v>
      </c>
      <c r="AA132" s="12">
        <v>0</v>
      </c>
      <c r="AB132" s="12">
        <v>0</v>
      </c>
      <c r="AC132" s="12">
        <v>3</v>
      </c>
      <c r="AD132" s="12">
        <v>1</v>
      </c>
      <c r="AE132" s="12">
        <v>0.625</v>
      </c>
      <c r="AF132" s="12">
        <v>9.5200000000000007E-2</v>
      </c>
      <c r="AG132" s="12">
        <v>37</v>
      </c>
    </row>
    <row r="133" spans="1:33" ht="15" x14ac:dyDescent="0.2">
      <c r="A133" s="12" t="s">
        <v>176</v>
      </c>
      <c r="B133" s="12" t="s">
        <v>138</v>
      </c>
      <c r="C133" s="12" t="s">
        <v>139</v>
      </c>
      <c r="D133" s="12" t="s">
        <v>140</v>
      </c>
      <c r="E133" s="12">
        <v>273</v>
      </c>
      <c r="F133" s="12">
        <v>14</v>
      </c>
      <c r="G133" s="12">
        <v>12</v>
      </c>
      <c r="H133" s="12">
        <v>2</v>
      </c>
      <c r="I133" s="12">
        <v>9</v>
      </c>
      <c r="J133" s="12">
        <v>0</v>
      </c>
      <c r="K133" s="12">
        <v>0</v>
      </c>
      <c r="L133" s="12">
        <v>0</v>
      </c>
      <c r="M133" s="12">
        <v>3</v>
      </c>
      <c r="N133" s="12">
        <v>2</v>
      </c>
      <c r="O133" s="12">
        <v>6</v>
      </c>
      <c r="P133" s="12">
        <v>2</v>
      </c>
      <c r="Q133" s="12">
        <v>4</v>
      </c>
      <c r="R133" s="12">
        <v>5.07</v>
      </c>
      <c r="S133" s="12">
        <v>0.224</v>
      </c>
      <c r="T133" s="12">
        <v>20</v>
      </c>
      <c r="U133" s="12">
        <v>3</v>
      </c>
      <c r="V133" s="12">
        <v>304</v>
      </c>
      <c r="W133" s="12">
        <v>13</v>
      </c>
      <c r="X133" s="12">
        <v>0.85709999999999997</v>
      </c>
      <c r="Y133" s="12">
        <v>0.1429</v>
      </c>
      <c r="Z133" s="12">
        <v>0.64290000000000003</v>
      </c>
      <c r="AA133" s="12">
        <v>0</v>
      </c>
      <c r="AB133" s="12">
        <v>0</v>
      </c>
      <c r="AC133" s="12">
        <v>3</v>
      </c>
      <c r="AD133" s="12">
        <v>2</v>
      </c>
      <c r="AE133" s="12">
        <v>0.33329999999999999</v>
      </c>
      <c r="AF133" s="12">
        <v>0.15</v>
      </c>
      <c r="AG133" s="12">
        <v>45</v>
      </c>
    </row>
    <row r="134" spans="1:33" ht="15" x14ac:dyDescent="0.2">
      <c r="A134" s="12" t="s">
        <v>177</v>
      </c>
      <c r="B134" s="12" t="s">
        <v>138</v>
      </c>
      <c r="C134" s="12" t="s">
        <v>139</v>
      </c>
      <c r="D134" s="12" t="s">
        <v>140</v>
      </c>
      <c r="E134" s="12">
        <v>313</v>
      </c>
      <c r="F134" s="12">
        <v>14</v>
      </c>
      <c r="G134" s="12">
        <v>11</v>
      </c>
      <c r="H134" s="12">
        <v>2</v>
      </c>
      <c r="I134" s="12">
        <v>12</v>
      </c>
      <c r="J134" s="12">
        <v>0</v>
      </c>
      <c r="K134" s="12">
        <v>0</v>
      </c>
      <c r="L134" s="12">
        <v>0</v>
      </c>
      <c r="M134" s="12">
        <v>3</v>
      </c>
      <c r="N134" s="12">
        <v>3</v>
      </c>
      <c r="O134" s="12">
        <v>7</v>
      </c>
      <c r="P134" s="12">
        <v>3</v>
      </c>
      <c r="Q134" s="12">
        <v>4</v>
      </c>
      <c r="R134" s="12">
        <v>4.67</v>
      </c>
      <c r="S134" s="12">
        <v>0.28999999999999998</v>
      </c>
      <c r="T134" s="12">
        <v>20</v>
      </c>
      <c r="U134" s="12">
        <v>0</v>
      </c>
      <c r="V134" s="12">
        <v>280</v>
      </c>
      <c r="W134" s="12">
        <v>17</v>
      </c>
      <c r="X134" s="12">
        <v>0.78569999999999995</v>
      </c>
      <c r="Y134" s="12">
        <v>0.1429</v>
      </c>
      <c r="Z134" s="12">
        <v>0.85709999999999997</v>
      </c>
      <c r="AA134" s="12">
        <v>0</v>
      </c>
      <c r="AB134" s="12">
        <v>0</v>
      </c>
      <c r="AC134" s="12">
        <v>3</v>
      </c>
      <c r="AD134" s="12">
        <v>3</v>
      </c>
      <c r="AE134" s="12">
        <v>0.42859999999999998</v>
      </c>
      <c r="AF134" s="12">
        <v>0</v>
      </c>
      <c r="AG134" s="12">
        <v>35</v>
      </c>
    </row>
    <row r="135" spans="1:33" ht="15" x14ac:dyDescent="0.2">
      <c r="A135" s="12" t="s">
        <v>178</v>
      </c>
      <c r="B135" s="12" t="s">
        <v>138</v>
      </c>
      <c r="C135" s="12" t="s">
        <v>139</v>
      </c>
      <c r="D135" s="12" t="s">
        <v>140</v>
      </c>
      <c r="E135" s="12">
        <v>233</v>
      </c>
      <c r="F135" s="12">
        <v>15</v>
      </c>
      <c r="G135" s="12">
        <v>9</v>
      </c>
      <c r="H135" s="12">
        <v>6</v>
      </c>
      <c r="I135" s="12">
        <v>11</v>
      </c>
      <c r="J135" s="12">
        <v>0</v>
      </c>
      <c r="K135" s="12">
        <v>0</v>
      </c>
      <c r="L135" s="12">
        <v>0</v>
      </c>
      <c r="M135" s="12">
        <v>0</v>
      </c>
      <c r="N135" s="12">
        <v>1</v>
      </c>
      <c r="O135" s="12">
        <v>5</v>
      </c>
      <c r="P135" s="12">
        <v>4</v>
      </c>
      <c r="Q135" s="12">
        <v>1</v>
      </c>
      <c r="R135" s="12">
        <v>4.03</v>
      </c>
      <c r="S135" s="12">
        <v>0.24199999999999999</v>
      </c>
      <c r="T135" s="12">
        <v>19</v>
      </c>
      <c r="U135" s="12">
        <v>3</v>
      </c>
      <c r="V135" s="12">
        <v>242</v>
      </c>
      <c r="W135" s="12">
        <v>15</v>
      </c>
      <c r="X135" s="12">
        <v>0.6</v>
      </c>
      <c r="Y135" s="12">
        <v>0.4</v>
      </c>
      <c r="Z135" s="12">
        <v>0.73329999999999995</v>
      </c>
      <c r="AA135" s="12">
        <v>0</v>
      </c>
      <c r="AB135" s="12">
        <v>0</v>
      </c>
      <c r="AC135" s="12">
        <v>0</v>
      </c>
      <c r="AD135" s="12">
        <v>1</v>
      </c>
      <c r="AE135" s="12">
        <v>0.8</v>
      </c>
      <c r="AF135" s="12">
        <v>0.15790000000000001</v>
      </c>
      <c r="AG135" s="12">
        <v>50</v>
      </c>
    </row>
    <row r="136" spans="1:33" ht="15" x14ac:dyDescent="0.2">
      <c r="A136" s="12" t="s">
        <v>179</v>
      </c>
      <c r="B136" s="12" t="s">
        <v>138</v>
      </c>
      <c r="C136" s="12" t="s">
        <v>146</v>
      </c>
      <c r="D136" s="12" t="s">
        <v>140</v>
      </c>
      <c r="E136" s="12">
        <v>464</v>
      </c>
      <c r="F136" s="12">
        <v>50</v>
      </c>
      <c r="G136" s="12">
        <v>43</v>
      </c>
      <c r="H136" s="12">
        <v>5</v>
      </c>
      <c r="I136" s="12">
        <v>43</v>
      </c>
      <c r="J136" s="12">
        <v>0</v>
      </c>
      <c r="K136" s="12">
        <v>0</v>
      </c>
      <c r="L136" s="12">
        <v>0</v>
      </c>
      <c r="M136" s="12">
        <v>5</v>
      </c>
      <c r="N136" s="12">
        <v>4</v>
      </c>
      <c r="O136" s="12">
        <v>6</v>
      </c>
      <c r="P136" s="12">
        <v>1</v>
      </c>
      <c r="Q136" s="12">
        <v>5</v>
      </c>
      <c r="R136" s="12">
        <v>3.1</v>
      </c>
      <c r="S136" s="12">
        <v>0.106</v>
      </c>
      <c r="T136" s="12">
        <v>21</v>
      </c>
      <c r="U136" s="12">
        <v>0</v>
      </c>
      <c r="V136" s="12">
        <v>186</v>
      </c>
      <c r="W136" s="12">
        <v>6</v>
      </c>
      <c r="X136" s="12">
        <v>0.86</v>
      </c>
      <c r="Y136" s="12">
        <v>0.1</v>
      </c>
      <c r="Z136" s="12">
        <v>0.86</v>
      </c>
      <c r="AA136" s="12">
        <v>0</v>
      </c>
      <c r="AB136" s="12">
        <v>0</v>
      </c>
      <c r="AC136" s="12">
        <v>5</v>
      </c>
      <c r="AD136" s="12">
        <v>4</v>
      </c>
      <c r="AE136" s="12">
        <v>0.16669999999999999</v>
      </c>
      <c r="AF136" s="12">
        <v>0</v>
      </c>
      <c r="AG136" s="12">
        <v>55</v>
      </c>
    </row>
    <row r="137" spans="1:33" ht="15" x14ac:dyDescent="0.2">
      <c r="A137" s="12" t="s">
        <v>180</v>
      </c>
      <c r="B137" s="12" t="s">
        <v>138</v>
      </c>
      <c r="C137" s="12" t="s">
        <v>139</v>
      </c>
      <c r="D137" s="12" t="s">
        <v>140</v>
      </c>
      <c r="E137" s="12">
        <v>335</v>
      </c>
      <c r="F137" s="12">
        <v>26</v>
      </c>
      <c r="G137" s="12">
        <v>23</v>
      </c>
      <c r="H137" s="12">
        <v>1</v>
      </c>
      <c r="I137" s="12">
        <v>21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4</v>
      </c>
      <c r="P137" s="12">
        <v>4</v>
      </c>
      <c r="Q137" s="12">
        <v>0</v>
      </c>
      <c r="R137" s="12">
        <v>3.32</v>
      </c>
      <c r="S137" s="12">
        <v>0.17699999999999999</v>
      </c>
      <c r="T137" s="12">
        <v>21</v>
      </c>
      <c r="U137" s="12">
        <v>1</v>
      </c>
      <c r="V137" s="12">
        <v>199</v>
      </c>
      <c r="W137" s="12">
        <v>11</v>
      </c>
      <c r="X137" s="12">
        <v>0.88460000000000005</v>
      </c>
      <c r="Y137" s="12">
        <v>3.85E-2</v>
      </c>
      <c r="Z137" s="12">
        <v>0.80769999999999997</v>
      </c>
      <c r="AA137" s="12">
        <v>0</v>
      </c>
      <c r="AB137" s="12">
        <v>0</v>
      </c>
      <c r="AC137" s="12">
        <v>0</v>
      </c>
      <c r="AD137" s="12">
        <v>0</v>
      </c>
      <c r="AE137" s="12">
        <v>1</v>
      </c>
      <c r="AF137" s="12">
        <v>4.7600000000000003E-2</v>
      </c>
      <c r="AG137" s="12">
        <v>80</v>
      </c>
    </row>
    <row r="138" spans="1:33" ht="15" x14ac:dyDescent="0.2">
      <c r="A138" s="12" t="s">
        <v>181</v>
      </c>
      <c r="B138" s="12" t="s">
        <v>138</v>
      </c>
      <c r="C138" s="12" t="s">
        <v>146</v>
      </c>
      <c r="D138" s="12" t="s">
        <v>140</v>
      </c>
      <c r="E138" s="12">
        <v>402</v>
      </c>
      <c r="F138" s="12">
        <v>34</v>
      </c>
      <c r="G138" s="12">
        <v>26</v>
      </c>
      <c r="H138" s="12">
        <v>7</v>
      </c>
      <c r="I138" s="12">
        <v>28</v>
      </c>
      <c r="J138" s="12">
        <v>0</v>
      </c>
      <c r="K138" s="12">
        <v>0</v>
      </c>
      <c r="L138" s="12">
        <v>0</v>
      </c>
      <c r="M138" s="12">
        <v>2</v>
      </c>
      <c r="N138" s="12">
        <v>4</v>
      </c>
      <c r="O138" s="12">
        <v>6</v>
      </c>
      <c r="P138" s="12">
        <v>2</v>
      </c>
      <c r="Q138" s="12">
        <v>4</v>
      </c>
      <c r="R138" s="12">
        <v>2.27</v>
      </c>
      <c r="S138" s="12">
        <v>0.13300000000000001</v>
      </c>
      <c r="T138" s="12">
        <v>22</v>
      </c>
      <c r="U138" s="12">
        <v>1</v>
      </c>
      <c r="V138" s="12">
        <v>136</v>
      </c>
      <c r="W138" s="12">
        <v>8</v>
      </c>
      <c r="X138" s="12">
        <v>0.76470000000000005</v>
      </c>
      <c r="Y138" s="12">
        <v>0.2059</v>
      </c>
      <c r="Z138" s="12">
        <v>0.82350000000000001</v>
      </c>
      <c r="AA138" s="12">
        <v>0</v>
      </c>
      <c r="AB138" s="12">
        <v>0</v>
      </c>
      <c r="AC138" s="12">
        <v>2</v>
      </c>
      <c r="AD138" s="12">
        <v>4</v>
      </c>
      <c r="AE138" s="12">
        <v>0.33329999999999999</v>
      </c>
      <c r="AF138" s="12">
        <v>4.5499999999999999E-2</v>
      </c>
      <c r="AG138" s="12">
        <v>35</v>
      </c>
    </row>
    <row r="139" spans="1:33" ht="15" x14ac:dyDescent="0.2">
      <c r="A139" s="12" t="s">
        <v>182</v>
      </c>
      <c r="B139" s="12" t="s">
        <v>138</v>
      </c>
      <c r="C139" s="12" t="s">
        <v>146</v>
      </c>
      <c r="D139" s="12" t="s">
        <v>140</v>
      </c>
      <c r="E139" s="12">
        <v>350</v>
      </c>
      <c r="F139" s="12">
        <v>25</v>
      </c>
      <c r="G139" s="12">
        <v>22</v>
      </c>
      <c r="H139" s="12">
        <v>3</v>
      </c>
      <c r="I139" s="12">
        <v>21</v>
      </c>
      <c r="J139" s="12">
        <v>0</v>
      </c>
      <c r="K139" s="12">
        <v>0</v>
      </c>
      <c r="L139" s="12">
        <v>0</v>
      </c>
      <c r="M139" s="12">
        <v>3</v>
      </c>
      <c r="N139" s="12">
        <v>5</v>
      </c>
      <c r="O139" s="12">
        <v>8</v>
      </c>
      <c r="P139" s="12">
        <v>2</v>
      </c>
      <c r="Q139" s="12">
        <v>6</v>
      </c>
      <c r="R139" s="12">
        <v>3.08</v>
      </c>
      <c r="S139" s="12">
        <v>0.14000000000000001</v>
      </c>
      <c r="T139" s="12">
        <v>21</v>
      </c>
      <c r="U139" s="12">
        <v>0</v>
      </c>
      <c r="V139" s="12">
        <v>185</v>
      </c>
      <c r="W139" s="12">
        <v>8</v>
      </c>
      <c r="X139" s="12">
        <v>0.88</v>
      </c>
      <c r="Y139" s="12">
        <v>0.12</v>
      </c>
      <c r="Z139" s="12">
        <v>0.84</v>
      </c>
      <c r="AA139" s="12">
        <v>0</v>
      </c>
      <c r="AB139" s="12">
        <v>0</v>
      </c>
      <c r="AC139" s="12">
        <v>3</v>
      </c>
      <c r="AD139" s="12">
        <v>5</v>
      </c>
      <c r="AE139" s="12">
        <v>0.25</v>
      </c>
      <c r="AF139" s="12">
        <v>0</v>
      </c>
      <c r="AG139" s="12">
        <v>55</v>
      </c>
    </row>
    <row r="140" spans="1:33" ht="15" x14ac:dyDescent="0.2">
      <c r="A140" s="12" t="s">
        <v>183</v>
      </c>
      <c r="B140" s="12" t="s">
        <v>138</v>
      </c>
      <c r="C140" s="12" t="s">
        <v>146</v>
      </c>
      <c r="D140" s="12" t="s">
        <v>140</v>
      </c>
      <c r="E140" s="12">
        <v>299</v>
      </c>
      <c r="F140" s="12">
        <v>29</v>
      </c>
      <c r="G140" s="12">
        <v>22</v>
      </c>
      <c r="H140" s="12">
        <v>6</v>
      </c>
      <c r="I140" s="12">
        <v>22</v>
      </c>
      <c r="J140" s="12">
        <v>0</v>
      </c>
      <c r="K140" s="12">
        <v>0</v>
      </c>
      <c r="L140" s="12">
        <v>0</v>
      </c>
      <c r="M140" s="12">
        <v>4</v>
      </c>
      <c r="N140" s="12">
        <v>3</v>
      </c>
      <c r="O140" s="12">
        <v>9</v>
      </c>
      <c r="P140" s="12">
        <v>4</v>
      </c>
      <c r="Q140" s="12">
        <v>5</v>
      </c>
      <c r="R140" s="12">
        <v>2.46</v>
      </c>
      <c r="S140" s="12">
        <v>0.113</v>
      </c>
      <c r="T140" s="12">
        <v>22</v>
      </c>
      <c r="U140" s="12">
        <v>2</v>
      </c>
      <c r="V140" s="12">
        <v>147</v>
      </c>
      <c r="W140" s="12">
        <v>7</v>
      </c>
      <c r="X140" s="12">
        <v>0.75860000000000005</v>
      </c>
      <c r="Y140" s="12">
        <v>0.2069</v>
      </c>
      <c r="Z140" s="12">
        <v>0.75860000000000005</v>
      </c>
      <c r="AA140" s="12">
        <v>0</v>
      </c>
      <c r="AB140" s="12">
        <v>0</v>
      </c>
      <c r="AC140" s="12">
        <v>4</v>
      </c>
      <c r="AD140" s="12">
        <v>3</v>
      </c>
      <c r="AE140" s="12">
        <v>0.44440000000000002</v>
      </c>
      <c r="AF140" s="12">
        <v>9.0899999999999995E-2</v>
      </c>
      <c r="AG140" s="12">
        <v>32</v>
      </c>
    </row>
    <row r="141" spans="1:33" ht="15" x14ac:dyDescent="0.2">
      <c r="A141" s="12" t="s">
        <v>184</v>
      </c>
      <c r="B141" s="12" t="s">
        <v>138</v>
      </c>
      <c r="C141" s="12" t="s">
        <v>146</v>
      </c>
      <c r="D141" s="12" t="s">
        <v>140</v>
      </c>
      <c r="E141" s="12">
        <v>397</v>
      </c>
      <c r="F141" s="12">
        <v>25</v>
      </c>
      <c r="G141" s="12">
        <v>24</v>
      </c>
      <c r="H141" s="12">
        <v>1</v>
      </c>
      <c r="I141" s="12">
        <v>23</v>
      </c>
      <c r="J141" s="12">
        <v>0</v>
      </c>
      <c r="K141" s="12">
        <v>0</v>
      </c>
      <c r="L141" s="12">
        <v>0</v>
      </c>
      <c r="M141" s="12">
        <v>2</v>
      </c>
      <c r="N141" s="12">
        <v>1</v>
      </c>
      <c r="O141" s="12">
        <v>10</v>
      </c>
      <c r="P141" s="12">
        <v>7</v>
      </c>
      <c r="Q141" s="12">
        <v>3</v>
      </c>
      <c r="R141" s="12">
        <v>3.07</v>
      </c>
      <c r="S141" s="12">
        <v>0.17100000000000001</v>
      </c>
      <c r="T141" s="12">
        <v>22</v>
      </c>
      <c r="U141" s="12">
        <v>1</v>
      </c>
      <c r="V141" s="12">
        <v>184</v>
      </c>
      <c r="W141" s="12">
        <v>10</v>
      </c>
      <c r="X141" s="12">
        <v>0.96</v>
      </c>
      <c r="Y141" s="12">
        <v>0.04</v>
      </c>
      <c r="Z141" s="12">
        <v>0.92</v>
      </c>
      <c r="AA141" s="12">
        <v>0</v>
      </c>
      <c r="AB141" s="12">
        <v>0</v>
      </c>
      <c r="AC141" s="12">
        <v>2</v>
      </c>
      <c r="AD141" s="12">
        <v>1</v>
      </c>
      <c r="AE141" s="12">
        <v>0.7</v>
      </c>
      <c r="AF141" s="12">
        <v>4.5499999999999999E-2</v>
      </c>
      <c r="AG141" s="12">
        <v>70</v>
      </c>
    </row>
    <row r="142" spans="1:33" ht="15" x14ac:dyDescent="0.2">
      <c r="A142" s="12" t="s">
        <v>185</v>
      </c>
      <c r="B142" s="12" t="s">
        <v>138</v>
      </c>
      <c r="C142" s="12" t="s">
        <v>146</v>
      </c>
      <c r="D142" s="12" t="s">
        <v>140</v>
      </c>
      <c r="E142" s="12">
        <v>293</v>
      </c>
      <c r="F142" s="12">
        <v>17</v>
      </c>
      <c r="G142" s="12">
        <v>14</v>
      </c>
      <c r="H142" s="12">
        <v>3</v>
      </c>
      <c r="I142" s="12">
        <v>15</v>
      </c>
      <c r="J142" s="12">
        <v>0</v>
      </c>
      <c r="K142" s="12">
        <v>0</v>
      </c>
      <c r="L142" s="12">
        <v>0</v>
      </c>
      <c r="M142" s="12">
        <v>3</v>
      </c>
      <c r="N142" s="12">
        <v>2</v>
      </c>
      <c r="O142" s="12">
        <v>6</v>
      </c>
      <c r="P142" s="12">
        <v>3</v>
      </c>
      <c r="Q142" s="12">
        <v>3</v>
      </c>
      <c r="R142" s="12">
        <v>3.91</v>
      </c>
      <c r="S142" s="12">
        <v>0.318</v>
      </c>
      <c r="T142" s="12">
        <v>22</v>
      </c>
      <c r="U142" s="12">
        <v>5</v>
      </c>
      <c r="V142" s="12">
        <v>235</v>
      </c>
      <c r="W142" s="12">
        <v>19</v>
      </c>
      <c r="X142" s="12">
        <v>0.82350000000000001</v>
      </c>
      <c r="Y142" s="12">
        <v>0.17649999999999999</v>
      </c>
      <c r="Z142" s="12">
        <v>0.88239999999999996</v>
      </c>
      <c r="AA142" s="12">
        <v>0</v>
      </c>
      <c r="AB142" s="12">
        <v>0</v>
      </c>
      <c r="AC142" s="12">
        <v>3</v>
      </c>
      <c r="AD142" s="12">
        <v>2</v>
      </c>
      <c r="AE142" s="12">
        <v>0.5</v>
      </c>
      <c r="AF142" s="12">
        <v>0.2273</v>
      </c>
      <c r="AG142" s="12">
        <v>50</v>
      </c>
    </row>
    <row r="143" spans="1:33" ht="15" x14ac:dyDescent="0.2">
      <c r="A143" s="12" t="s">
        <v>186</v>
      </c>
      <c r="B143" s="12" t="s">
        <v>138</v>
      </c>
      <c r="C143" s="12" t="s">
        <v>139</v>
      </c>
      <c r="D143" s="12" t="s">
        <v>140</v>
      </c>
      <c r="E143" s="12">
        <v>347</v>
      </c>
      <c r="F143" s="12">
        <v>20</v>
      </c>
      <c r="G143" s="12">
        <v>19</v>
      </c>
      <c r="H143" s="12">
        <v>1</v>
      </c>
      <c r="I143" s="12">
        <v>18</v>
      </c>
      <c r="J143" s="12">
        <v>0</v>
      </c>
      <c r="K143" s="12">
        <v>0</v>
      </c>
      <c r="L143" s="12">
        <v>0</v>
      </c>
      <c r="M143" s="12">
        <v>1</v>
      </c>
      <c r="N143" s="12">
        <v>3</v>
      </c>
      <c r="O143" s="12">
        <v>5</v>
      </c>
      <c r="P143" s="12">
        <v>2</v>
      </c>
      <c r="Q143" s="12">
        <v>3</v>
      </c>
      <c r="R143" s="12">
        <v>3.73</v>
      </c>
      <c r="S143" s="12">
        <v>0.19600000000000001</v>
      </c>
      <c r="T143" s="12">
        <v>20</v>
      </c>
      <c r="U143" s="12">
        <v>1</v>
      </c>
      <c r="V143" s="12">
        <v>224</v>
      </c>
      <c r="W143" s="12">
        <v>12</v>
      </c>
      <c r="X143" s="12">
        <v>0.95</v>
      </c>
      <c r="Y143" s="12">
        <v>0.05</v>
      </c>
      <c r="Z143" s="12">
        <v>0.9</v>
      </c>
      <c r="AA143" s="12">
        <v>0</v>
      </c>
      <c r="AB143" s="12">
        <v>0</v>
      </c>
      <c r="AC143" s="12">
        <v>1</v>
      </c>
      <c r="AD143" s="12">
        <v>3</v>
      </c>
      <c r="AE143" s="12">
        <v>0.4</v>
      </c>
      <c r="AF143" s="12">
        <v>0.05</v>
      </c>
      <c r="AG143" s="12">
        <v>65</v>
      </c>
    </row>
    <row r="144" spans="1:33" ht="15" x14ac:dyDescent="0.2">
      <c r="A144" s="12" t="s">
        <v>187</v>
      </c>
      <c r="B144" s="12" t="s">
        <v>138</v>
      </c>
      <c r="C144" s="12" t="s">
        <v>146</v>
      </c>
      <c r="D144" s="12" t="s">
        <v>140</v>
      </c>
      <c r="E144" s="12">
        <v>238</v>
      </c>
      <c r="F144" s="12">
        <v>22</v>
      </c>
      <c r="G144" s="12">
        <v>19</v>
      </c>
      <c r="H144" s="12">
        <v>2</v>
      </c>
      <c r="I144" s="12">
        <v>18</v>
      </c>
      <c r="J144" s="12">
        <v>0</v>
      </c>
      <c r="K144" s="12">
        <v>0</v>
      </c>
      <c r="L144" s="12">
        <v>0</v>
      </c>
      <c r="M144" s="12">
        <v>3</v>
      </c>
      <c r="N144" s="12">
        <v>2</v>
      </c>
      <c r="O144" s="12">
        <v>3</v>
      </c>
      <c r="P144" s="12">
        <v>0</v>
      </c>
      <c r="Q144" s="12">
        <v>3</v>
      </c>
      <c r="R144" s="12">
        <v>3.91</v>
      </c>
      <c r="S144" s="12">
        <v>0.25600000000000001</v>
      </c>
      <c r="T144" s="12">
        <v>20</v>
      </c>
      <c r="U144" s="12">
        <v>7</v>
      </c>
      <c r="V144" s="12">
        <v>235</v>
      </c>
      <c r="W144" s="12">
        <v>15</v>
      </c>
      <c r="X144" s="12">
        <v>0.86360000000000003</v>
      </c>
      <c r="Y144" s="12">
        <v>9.0899999999999995E-2</v>
      </c>
      <c r="Z144" s="12">
        <v>0.81820000000000004</v>
      </c>
      <c r="AA144" s="12">
        <v>0</v>
      </c>
      <c r="AB144" s="12">
        <v>0</v>
      </c>
      <c r="AC144" s="12">
        <v>3</v>
      </c>
      <c r="AD144" s="12">
        <v>2</v>
      </c>
      <c r="AE144" s="12">
        <v>0</v>
      </c>
      <c r="AF144" s="12">
        <v>0.35</v>
      </c>
      <c r="AG144" s="12">
        <v>55</v>
      </c>
    </row>
    <row r="145" spans="1:33" ht="15" x14ac:dyDescent="0.2">
      <c r="A145" s="12" t="s">
        <v>188</v>
      </c>
      <c r="B145" s="12" t="s">
        <v>138</v>
      </c>
      <c r="C145" s="12" t="s">
        <v>146</v>
      </c>
      <c r="D145" s="12" t="s">
        <v>140</v>
      </c>
      <c r="E145" s="12">
        <v>204</v>
      </c>
      <c r="F145" s="12">
        <v>17</v>
      </c>
      <c r="G145" s="12">
        <v>11</v>
      </c>
      <c r="H145" s="12">
        <v>4</v>
      </c>
      <c r="I145" s="12">
        <v>13</v>
      </c>
      <c r="J145" s="12">
        <v>0</v>
      </c>
      <c r="K145" s="12">
        <v>0</v>
      </c>
      <c r="L145" s="12">
        <v>0</v>
      </c>
      <c r="M145" s="12">
        <v>2</v>
      </c>
      <c r="N145" s="12">
        <v>2</v>
      </c>
      <c r="O145" s="12">
        <v>6</v>
      </c>
      <c r="P145" s="12">
        <v>3</v>
      </c>
      <c r="Q145" s="12">
        <v>3</v>
      </c>
      <c r="R145" s="12">
        <v>3.87</v>
      </c>
      <c r="S145" s="12">
        <v>0.19700000000000001</v>
      </c>
      <c r="T145" s="12">
        <v>20</v>
      </c>
      <c r="U145" s="12">
        <v>1</v>
      </c>
      <c r="V145" s="12">
        <v>232</v>
      </c>
      <c r="W145" s="12">
        <v>12</v>
      </c>
      <c r="X145" s="12">
        <v>0.64710000000000001</v>
      </c>
      <c r="Y145" s="12">
        <v>0.23530000000000001</v>
      </c>
      <c r="Z145" s="12">
        <v>0.76470000000000005</v>
      </c>
      <c r="AA145" s="12">
        <v>0</v>
      </c>
      <c r="AB145" s="12">
        <v>0</v>
      </c>
      <c r="AC145" s="12">
        <v>2</v>
      </c>
      <c r="AD145" s="12">
        <v>2</v>
      </c>
      <c r="AE145" s="12">
        <v>0.5</v>
      </c>
      <c r="AF145" s="12">
        <v>0.05</v>
      </c>
      <c r="AG145" s="12">
        <v>37</v>
      </c>
    </row>
    <row r="146" spans="1:33" ht="15" x14ac:dyDescent="0.2">
      <c r="A146" s="12" t="s">
        <v>189</v>
      </c>
      <c r="B146" s="12" t="s">
        <v>138</v>
      </c>
      <c r="C146" s="12" t="s">
        <v>139</v>
      </c>
      <c r="D146" s="12" t="s">
        <v>140</v>
      </c>
      <c r="E146" s="12">
        <v>483</v>
      </c>
      <c r="F146" s="12">
        <v>38</v>
      </c>
      <c r="G146" s="12">
        <v>30</v>
      </c>
      <c r="H146" s="12">
        <v>6</v>
      </c>
      <c r="I146" s="12">
        <v>31</v>
      </c>
      <c r="J146" s="12">
        <v>0</v>
      </c>
      <c r="K146" s="12">
        <v>0</v>
      </c>
      <c r="L146" s="12">
        <v>0</v>
      </c>
      <c r="M146" s="12">
        <v>2</v>
      </c>
      <c r="N146" s="12">
        <v>1</v>
      </c>
      <c r="O146" s="12">
        <v>8</v>
      </c>
      <c r="P146" s="12">
        <v>6</v>
      </c>
      <c r="Q146" s="12">
        <v>2</v>
      </c>
      <c r="R146" s="12">
        <v>3.01</v>
      </c>
      <c r="S146" s="12">
        <v>0.23200000000000001</v>
      </c>
      <c r="T146" s="12">
        <v>20</v>
      </c>
      <c r="U146" s="12">
        <v>0</v>
      </c>
      <c r="V146" s="12">
        <v>181</v>
      </c>
      <c r="W146" s="12">
        <v>14</v>
      </c>
      <c r="X146" s="12">
        <v>0.78949999999999998</v>
      </c>
      <c r="Y146" s="12">
        <v>0.15790000000000001</v>
      </c>
      <c r="Z146" s="12">
        <v>0.81579999999999997</v>
      </c>
      <c r="AA146" s="12">
        <v>0</v>
      </c>
      <c r="AB146" s="12">
        <v>0</v>
      </c>
      <c r="AC146" s="12">
        <v>2</v>
      </c>
      <c r="AD146" s="12">
        <v>1</v>
      </c>
      <c r="AE146" s="12">
        <v>0.75</v>
      </c>
      <c r="AF146" s="12">
        <v>0</v>
      </c>
      <c r="AG146" s="12">
        <v>45</v>
      </c>
    </row>
    <row r="147" spans="1:33" ht="15" x14ac:dyDescent="0.2">
      <c r="A147" s="12" t="s">
        <v>190</v>
      </c>
      <c r="B147" s="12" t="s">
        <v>138</v>
      </c>
      <c r="C147" s="12" t="s">
        <v>146</v>
      </c>
      <c r="D147" s="12" t="s">
        <v>140</v>
      </c>
      <c r="E147" s="12">
        <v>13</v>
      </c>
      <c r="F147" s="12">
        <v>2</v>
      </c>
      <c r="G147" s="12">
        <v>2</v>
      </c>
      <c r="H147" s="12">
        <v>0</v>
      </c>
      <c r="I147" s="12">
        <v>2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1</v>
      </c>
      <c r="P147" s="12">
        <v>1</v>
      </c>
      <c r="Q147" s="12">
        <v>0</v>
      </c>
      <c r="R147" s="12">
        <v>8.67</v>
      </c>
      <c r="S147" s="12">
        <v>0.58099999999999996</v>
      </c>
      <c r="T147" s="12">
        <v>9</v>
      </c>
      <c r="U147" s="12">
        <v>8</v>
      </c>
      <c r="V147" s="12">
        <v>520</v>
      </c>
      <c r="W147" s="12">
        <v>35</v>
      </c>
      <c r="X147" s="12">
        <v>1</v>
      </c>
      <c r="Y147" s="12">
        <v>0</v>
      </c>
      <c r="Z147" s="12">
        <v>1</v>
      </c>
      <c r="AA147" s="12">
        <v>0</v>
      </c>
      <c r="AB147" s="12">
        <v>0</v>
      </c>
      <c r="AC147" s="12">
        <v>0</v>
      </c>
      <c r="AD147" s="12">
        <v>0</v>
      </c>
      <c r="AE147" s="12">
        <v>1</v>
      </c>
      <c r="AF147" s="12">
        <v>0.88890000000000002</v>
      </c>
      <c r="AG147" s="12">
        <v>76</v>
      </c>
    </row>
    <row r="148" spans="1:33" ht="15" x14ac:dyDescent="0.2">
      <c r="A148" s="12" t="s">
        <v>191</v>
      </c>
      <c r="B148" s="12" t="s">
        <v>138</v>
      </c>
      <c r="C148" s="12" t="s">
        <v>139</v>
      </c>
      <c r="D148" s="12" t="s">
        <v>140</v>
      </c>
      <c r="E148" s="12">
        <v>381</v>
      </c>
      <c r="F148" s="12">
        <v>29</v>
      </c>
      <c r="G148" s="12">
        <v>22</v>
      </c>
      <c r="H148" s="12">
        <v>5</v>
      </c>
      <c r="I148" s="12">
        <v>20</v>
      </c>
      <c r="J148" s="12">
        <v>0</v>
      </c>
      <c r="K148" s="12">
        <v>0</v>
      </c>
      <c r="L148" s="12">
        <v>0</v>
      </c>
      <c r="M148" s="12">
        <v>4</v>
      </c>
      <c r="N148" s="12">
        <v>1</v>
      </c>
      <c r="O148" s="12">
        <v>9</v>
      </c>
      <c r="P148" s="12">
        <v>5</v>
      </c>
      <c r="Q148" s="12">
        <v>4</v>
      </c>
      <c r="R148" s="12">
        <v>3.65</v>
      </c>
      <c r="S148" s="12">
        <v>0.22700000000000001</v>
      </c>
      <c r="T148" s="12">
        <v>21</v>
      </c>
      <c r="U148" s="12">
        <v>2</v>
      </c>
      <c r="V148" s="12">
        <v>219</v>
      </c>
      <c r="W148" s="12">
        <v>14</v>
      </c>
      <c r="X148" s="12">
        <v>0.75860000000000005</v>
      </c>
      <c r="Y148" s="12">
        <v>0.1724</v>
      </c>
      <c r="Z148" s="12">
        <v>0.68969999999999998</v>
      </c>
      <c r="AA148" s="12">
        <v>0</v>
      </c>
      <c r="AB148" s="12">
        <v>0</v>
      </c>
      <c r="AC148" s="12">
        <v>4</v>
      </c>
      <c r="AD148" s="12">
        <v>1</v>
      </c>
      <c r="AE148" s="12">
        <v>0.55559999999999998</v>
      </c>
      <c r="AF148" s="12">
        <v>9.5200000000000007E-2</v>
      </c>
      <c r="AG148" s="12">
        <v>25</v>
      </c>
    </row>
    <row r="149" spans="1:33" ht="15" x14ac:dyDescent="0.2">
      <c r="A149" s="12" t="s">
        <v>192</v>
      </c>
      <c r="B149" s="12" t="s">
        <v>138</v>
      </c>
      <c r="C149" s="12" t="s">
        <v>139</v>
      </c>
      <c r="D149" s="12" t="s">
        <v>140</v>
      </c>
      <c r="E149" s="12">
        <v>412</v>
      </c>
      <c r="F149" s="12">
        <v>45</v>
      </c>
      <c r="G149" s="12">
        <v>37</v>
      </c>
      <c r="H149" s="12">
        <v>6</v>
      </c>
      <c r="I149" s="12">
        <v>38</v>
      </c>
      <c r="J149" s="12">
        <v>0</v>
      </c>
      <c r="K149" s="12">
        <v>0</v>
      </c>
      <c r="L149" s="12">
        <v>0</v>
      </c>
      <c r="M149" s="12">
        <v>1</v>
      </c>
      <c r="N149" s="12">
        <v>1</v>
      </c>
      <c r="O149" s="12">
        <v>10</v>
      </c>
      <c r="P149" s="12">
        <v>8</v>
      </c>
      <c r="Q149" s="12">
        <v>2</v>
      </c>
      <c r="R149" s="12">
        <v>3.95</v>
      </c>
      <c r="S149" s="12">
        <v>0.23400000000000001</v>
      </c>
      <c r="T149" s="12">
        <v>21</v>
      </c>
      <c r="U149" s="12">
        <v>1</v>
      </c>
      <c r="V149" s="12">
        <v>237</v>
      </c>
      <c r="W149" s="12">
        <v>14</v>
      </c>
      <c r="X149" s="12">
        <v>0.82220000000000004</v>
      </c>
      <c r="Y149" s="12">
        <v>0.1333</v>
      </c>
      <c r="Z149" s="12">
        <v>0.84440000000000004</v>
      </c>
      <c r="AA149" s="12">
        <v>0</v>
      </c>
      <c r="AB149" s="12">
        <v>0</v>
      </c>
      <c r="AC149" s="12">
        <v>1</v>
      </c>
      <c r="AD149" s="12">
        <v>1</v>
      </c>
      <c r="AE149" s="12">
        <v>0.8</v>
      </c>
      <c r="AF149" s="12">
        <v>4.7600000000000003E-2</v>
      </c>
      <c r="AG149" s="12">
        <v>65</v>
      </c>
    </row>
    <row r="150" spans="1:33" ht="15" x14ac:dyDescent="0.2">
      <c r="A150" s="12" t="s">
        <v>193</v>
      </c>
      <c r="B150" s="12" t="s">
        <v>138</v>
      </c>
      <c r="C150" s="12" t="s">
        <v>139</v>
      </c>
      <c r="D150" s="12" t="s">
        <v>140</v>
      </c>
      <c r="E150" s="12">
        <v>381</v>
      </c>
      <c r="F150" s="12">
        <v>24</v>
      </c>
      <c r="G150" s="12">
        <v>18</v>
      </c>
      <c r="H150" s="12">
        <v>5</v>
      </c>
      <c r="I150" s="12">
        <v>20</v>
      </c>
      <c r="J150" s="12">
        <v>0</v>
      </c>
      <c r="K150" s="12">
        <v>0</v>
      </c>
      <c r="L150" s="12">
        <v>0</v>
      </c>
      <c r="M150" s="12">
        <v>3</v>
      </c>
      <c r="N150" s="12">
        <v>2</v>
      </c>
      <c r="O150" s="12">
        <v>8</v>
      </c>
      <c r="P150" s="12">
        <v>5</v>
      </c>
      <c r="Q150" s="12">
        <v>3</v>
      </c>
      <c r="R150" s="12">
        <v>3.96</v>
      </c>
      <c r="S150" s="12">
        <v>0.28599999999999998</v>
      </c>
      <c r="T150" s="12">
        <v>21</v>
      </c>
      <c r="U150" s="12">
        <v>2</v>
      </c>
      <c r="V150" s="12">
        <v>238</v>
      </c>
      <c r="W150" s="12">
        <v>17</v>
      </c>
      <c r="X150" s="12">
        <v>0.75</v>
      </c>
      <c r="Y150" s="12">
        <v>0.20830000000000001</v>
      </c>
      <c r="Z150" s="12">
        <v>0.83330000000000004</v>
      </c>
      <c r="AA150" s="12">
        <v>0</v>
      </c>
      <c r="AB150" s="12">
        <v>0</v>
      </c>
      <c r="AC150" s="12">
        <v>3</v>
      </c>
      <c r="AD150" s="12">
        <v>2</v>
      </c>
      <c r="AE150" s="12">
        <v>0.625</v>
      </c>
      <c r="AF150" s="12">
        <v>9.5200000000000007E-2</v>
      </c>
      <c r="AG150" s="12">
        <v>35</v>
      </c>
    </row>
    <row r="151" spans="1:33" ht="15" x14ac:dyDescent="0.2">
      <c r="A151" s="12" t="s">
        <v>194</v>
      </c>
      <c r="B151" s="12" t="s">
        <v>138</v>
      </c>
      <c r="C151" s="12" t="s">
        <v>139</v>
      </c>
      <c r="D151" s="12" t="s">
        <v>140</v>
      </c>
      <c r="E151" s="12">
        <v>412</v>
      </c>
      <c r="F151" s="12">
        <v>29</v>
      </c>
      <c r="G151" s="12">
        <v>18</v>
      </c>
      <c r="H151" s="12">
        <v>9</v>
      </c>
      <c r="I151" s="12">
        <v>20</v>
      </c>
      <c r="J151" s="12">
        <v>0</v>
      </c>
      <c r="K151" s="12">
        <v>0</v>
      </c>
      <c r="L151" s="12">
        <v>0</v>
      </c>
      <c r="M151" s="12">
        <v>4</v>
      </c>
      <c r="N151" s="12">
        <v>2</v>
      </c>
      <c r="O151" s="12">
        <v>10</v>
      </c>
      <c r="P151" s="12">
        <v>6</v>
      </c>
      <c r="Q151" s="12">
        <v>4</v>
      </c>
      <c r="R151" s="12">
        <v>4.32</v>
      </c>
      <c r="S151" s="12">
        <v>0.254</v>
      </c>
      <c r="T151" s="12">
        <v>21</v>
      </c>
      <c r="U151" s="12">
        <v>2</v>
      </c>
      <c r="V151" s="12">
        <v>259</v>
      </c>
      <c r="W151" s="12">
        <v>15</v>
      </c>
      <c r="X151" s="12">
        <v>0.62070000000000003</v>
      </c>
      <c r="Y151" s="12">
        <v>0.31030000000000002</v>
      </c>
      <c r="Z151" s="12">
        <v>0.68969999999999998</v>
      </c>
      <c r="AA151" s="12">
        <v>0</v>
      </c>
      <c r="AB151" s="12">
        <v>0</v>
      </c>
      <c r="AC151" s="12">
        <v>4</v>
      </c>
      <c r="AD151" s="12">
        <v>2</v>
      </c>
      <c r="AE151" s="12">
        <v>0.6</v>
      </c>
      <c r="AF151" s="12">
        <v>9.5200000000000007E-2</v>
      </c>
      <c r="AG151" s="12">
        <v>25</v>
      </c>
    </row>
    <row r="152" spans="1:33" ht="15" x14ac:dyDescent="0.2">
      <c r="A152" s="12" t="s">
        <v>195</v>
      </c>
      <c r="B152" s="12" t="s">
        <v>138</v>
      </c>
      <c r="C152" s="12" t="s">
        <v>146</v>
      </c>
      <c r="D152" s="12" t="s">
        <v>140</v>
      </c>
      <c r="E152" s="12">
        <v>348</v>
      </c>
      <c r="F152" s="12">
        <v>22</v>
      </c>
      <c r="G152" s="12">
        <v>22</v>
      </c>
      <c r="H152" s="12">
        <v>0</v>
      </c>
      <c r="I152" s="12">
        <v>20</v>
      </c>
      <c r="J152" s="12">
        <v>0</v>
      </c>
      <c r="K152" s="12">
        <v>0</v>
      </c>
      <c r="L152" s="12">
        <v>0</v>
      </c>
      <c r="M152" s="12">
        <v>0</v>
      </c>
      <c r="N152" s="12">
        <v>2</v>
      </c>
      <c r="O152" s="12">
        <v>7</v>
      </c>
      <c r="P152" s="12">
        <v>5</v>
      </c>
      <c r="Q152" s="12">
        <v>2</v>
      </c>
      <c r="R152" s="12">
        <v>2.77</v>
      </c>
      <c r="S152" s="12">
        <v>0.254</v>
      </c>
      <c r="T152" s="12">
        <v>21</v>
      </c>
      <c r="U152" s="12">
        <v>1</v>
      </c>
      <c r="V152" s="12">
        <v>166</v>
      </c>
      <c r="W152" s="12">
        <v>15</v>
      </c>
      <c r="X152" s="12">
        <v>1</v>
      </c>
      <c r="Y152" s="12">
        <v>0</v>
      </c>
      <c r="Z152" s="12">
        <v>0.90910000000000002</v>
      </c>
      <c r="AA152" s="12">
        <v>0</v>
      </c>
      <c r="AB152" s="12">
        <v>0</v>
      </c>
      <c r="AC152" s="12">
        <v>0</v>
      </c>
      <c r="AD152" s="12">
        <v>2</v>
      </c>
      <c r="AE152" s="12">
        <v>0.71430000000000005</v>
      </c>
      <c r="AF152" s="12">
        <v>4.7600000000000003E-2</v>
      </c>
      <c r="AG152" s="12">
        <v>75</v>
      </c>
    </row>
    <row r="153" spans="1:33" ht="15" x14ac:dyDescent="0.2">
      <c r="A153" s="12" t="s">
        <v>196</v>
      </c>
      <c r="B153" s="12" t="s">
        <v>138</v>
      </c>
      <c r="C153" s="12" t="s">
        <v>139</v>
      </c>
      <c r="D153" s="12" t="s">
        <v>140</v>
      </c>
      <c r="E153" s="12">
        <v>283</v>
      </c>
      <c r="F153" s="12">
        <v>19</v>
      </c>
      <c r="G153" s="12">
        <v>17</v>
      </c>
      <c r="H153" s="12">
        <v>2</v>
      </c>
      <c r="I153" s="12">
        <v>16</v>
      </c>
      <c r="J153" s="12">
        <v>0</v>
      </c>
      <c r="K153" s="12">
        <v>0</v>
      </c>
      <c r="L153" s="12">
        <v>0</v>
      </c>
      <c r="M153" s="12">
        <v>4</v>
      </c>
      <c r="N153" s="12">
        <v>4</v>
      </c>
      <c r="O153" s="12">
        <v>8</v>
      </c>
      <c r="P153" s="12">
        <v>3</v>
      </c>
      <c r="Q153" s="12">
        <v>5</v>
      </c>
      <c r="R153" s="12">
        <v>2.0299999999999998</v>
      </c>
      <c r="S153" s="12">
        <v>0.125</v>
      </c>
      <c r="T153" s="12">
        <v>20</v>
      </c>
      <c r="U153" s="12">
        <v>3</v>
      </c>
      <c r="V153" s="12">
        <v>122</v>
      </c>
      <c r="W153" s="12">
        <v>8</v>
      </c>
      <c r="X153" s="12">
        <v>0.89470000000000005</v>
      </c>
      <c r="Y153" s="12">
        <v>0.1053</v>
      </c>
      <c r="Z153" s="12">
        <v>0.84209999999999996</v>
      </c>
      <c r="AA153" s="12">
        <v>0</v>
      </c>
      <c r="AB153" s="12">
        <v>0</v>
      </c>
      <c r="AC153" s="12">
        <v>4</v>
      </c>
      <c r="AD153" s="12">
        <v>4</v>
      </c>
      <c r="AE153" s="12">
        <v>0.375</v>
      </c>
      <c r="AF153" s="12">
        <v>0.15</v>
      </c>
      <c r="AG153" s="12">
        <v>55</v>
      </c>
    </row>
    <row r="154" spans="1:33" ht="15" x14ac:dyDescent="0.2">
      <c r="A154" s="12" t="s">
        <v>197</v>
      </c>
      <c r="B154" s="12" t="s">
        <v>138</v>
      </c>
      <c r="C154" s="12" t="s">
        <v>146</v>
      </c>
      <c r="D154" s="12" t="s">
        <v>140</v>
      </c>
      <c r="E154" s="12">
        <v>156</v>
      </c>
      <c r="F154" s="12">
        <v>19</v>
      </c>
      <c r="G154" s="12">
        <v>18</v>
      </c>
      <c r="H154" s="12">
        <v>1</v>
      </c>
      <c r="I154" s="12">
        <v>16</v>
      </c>
      <c r="J154" s="12">
        <v>0</v>
      </c>
      <c r="K154" s="12">
        <v>0</v>
      </c>
      <c r="L154" s="12">
        <v>0</v>
      </c>
      <c r="M154" s="12">
        <v>1</v>
      </c>
      <c r="N154" s="12">
        <v>1</v>
      </c>
      <c r="O154" s="12">
        <v>4</v>
      </c>
      <c r="P154" s="12">
        <v>3</v>
      </c>
      <c r="Q154" s="12">
        <v>1</v>
      </c>
      <c r="R154" s="12">
        <v>3.71</v>
      </c>
      <c r="S154" s="12">
        <v>0.28399999999999997</v>
      </c>
      <c r="T154" s="12">
        <v>18</v>
      </c>
      <c r="U154" s="12">
        <v>4</v>
      </c>
      <c r="V154" s="12">
        <v>223</v>
      </c>
      <c r="W154" s="12">
        <v>17</v>
      </c>
      <c r="X154" s="12">
        <v>0.94740000000000002</v>
      </c>
      <c r="Y154" s="12">
        <v>5.2600000000000001E-2</v>
      </c>
      <c r="Z154" s="12">
        <v>0.84209999999999996</v>
      </c>
      <c r="AA154" s="12">
        <v>0</v>
      </c>
      <c r="AB154" s="12">
        <v>0</v>
      </c>
      <c r="AC154" s="12">
        <v>1</v>
      </c>
      <c r="AD154" s="12">
        <v>1</v>
      </c>
      <c r="AE154" s="12">
        <v>0.75</v>
      </c>
      <c r="AF154" s="12">
        <v>0.22220000000000001</v>
      </c>
      <c r="AG154" s="12">
        <v>75</v>
      </c>
    </row>
    <row r="155" spans="1:33" ht="15" x14ac:dyDescent="0.2">
      <c r="A155" s="12" t="s">
        <v>198</v>
      </c>
      <c r="B155" s="12" t="s">
        <v>138</v>
      </c>
      <c r="C155" s="12" t="s">
        <v>146</v>
      </c>
      <c r="D155" s="12" t="s">
        <v>140</v>
      </c>
      <c r="E155" s="12">
        <v>169</v>
      </c>
      <c r="F155" s="12">
        <v>15</v>
      </c>
      <c r="G155" s="12">
        <v>14</v>
      </c>
      <c r="H155" s="12">
        <v>1</v>
      </c>
      <c r="I155" s="12">
        <v>15</v>
      </c>
      <c r="J155" s="12">
        <v>0</v>
      </c>
      <c r="K155" s="12">
        <v>0</v>
      </c>
      <c r="L155" s="12">
        <v>0</v>
      </c>
      <c r="M155" s="12">
        <v>1</v>
      </c>
      <c r="N155" s="12">
        <v>0</v>
      </c>
      <c r="O155" s="12">
        <v>4</v>
      </c>
      <c r="P155" s="12">
        <v>3</v>
      </c>
      <c r="Q155" s="12">
        <v>1</v>
      </c>
      <c r="R155" s="12">
        <v>4.75</v>
      </c>
      <c r="S155" s="12">
        <v>0.379</v>
      </c>
      <c r="T155" s="12">
        <v>21</v>
      </c>
      <c r="U155" s="12">
        <v>5</v>
      </c>
      <c r="V155" s="12">
        <v>285</v>
      </c>
      <c r="W155" s="12">
        <v>23</v>
      </c>
      <c r="X155" s="12">
        <v>0.93330000000000002</v>
      </c>
      <c r="Y155" s="12">
        <v>6.6699999999999995E-2</v>
      </c>
      <c r="Z155" s="12">
        <v>1</v>
      </c>
      <c r="AA155" s="12">
        <v>0</v>
      </c>
      <c r="AB155" s="12">
        <v>0</v>
      </c>
      <c r="AC155" s="12">
        <v>1</v>
      </c>
      <c r="AD155" s="12">
        <v>0</v>
      </c>
      <c r="AE155" s="12">
        <v>0.75</v>
      </c>
      <c r="AF155" s="12">
        <v>0.23810000000000001</v>
      </c>
      <c r="AG155" s="12">
        <v>70</v>
      </c>
    </row>
    <row r="156" spans="1:33" ht="15" x14ac:dyDescent="0.2">
      <c r="A156" s="12" t="s">
        <v>199</v>
      </c>
      <c r="B156" s="12" t="s">
        <v>138</v>
      </c>
      <c r="C156" s="12" t="s">
        <v>146</v>
      </c>
      <c r="D156" s="12" t="s">
        <v>140</v>
      </c>
      <c r="E156" s="12">
        <v>258</v>
      </c>
      <c r="F156" s="12">
        <v>37</v>
      </c>
      <c r="G156" s="12">
        <v>33</v>
      </c>
      <c r="H156" s="12">
        <v>4</v>
      </c>
      <c r="I156" s="12">
        <v>35</v>
      </c>
      <c r="J156" s="12">
        <v>0</v>
      </c>
      <c r="K156" s="12">
        <v>0</v>
      </c>
      <c r="L156" s="12">
        <v>0</v>
      </c>
      <c r="M156" s="12">
        <v>2</v>
      </c>
      <c r="N156" s="12">
        <v>2</v>
      </c>
      <c r="O156" s="12">
        <v>6</v>
      </c>
      <c r="P156" s="12">
        <v>3</v>
      </c>
      <c r="Q156" s="12">
        <v>3</v>
      </c>
      <c r="R156" s="12">
        <v>4.05</v>
      </c>
      <c r="S156" s="12">
        <v>0.155</v>
      </c>
      <c r="T156" s="12">
        <v>21</v>
      </c>
      <c r="U156" s="12">
        <v>0</v>
      </c>
      <c r="V156" s="12">
        <v>243</v>
      </c>
      <c r="W156" s="12">
        <v>9</v>
      </c>
      <c r="X156" s="12">
        <v>0.89190000000000003</v>
      </c>
      <c r="Y156" s="12">
        <v>0.1081</v>
      </c>
      <c r="Z156" s="12">
        <v>0.94589999999999996</v>
      </c>
      <c r="AA156" s="12">
        <v>0</v>
      </c>
      <c r="AB156" s="12">
        <v>0</v>
      </c>
      <c r="AC156" s="12">
        <v>2</v>
      </c>
      <c r="AD156" s="12">
        <v>2</v>
      </c>
      <c r="AE156" s="12">
        <v>0.5</v>
      </c>
      <c r="AF156" s="12">
        <v>0</v>
      </c>
      <c r="AG156" s="12">
        <v>60</v>
      </c>
    </row>
    <row r="157" spans="1:33" ht="15" x14ac:dyDescent="0.2">
      <c r="A157" s="12" t="s">
        <v>200</v>
      </c>
      <c r="B157" s="12" t="s">
        <v>138</v>
      </c>
      <c r="C157" s="12" t="s">
        <v>146</v>
      </c>
      <c r="D157" s="12" t="s">
        <v>140</v>
      </c>
      <c r="E157" s="12">
        <v>263</v>
      </c>
      <c r="F157" s="12">
        <v>22</v>
      </c>
      <c r="G157" s="12">
        <v>20</v>
      </c>
      <c r="H157" s="12">
        <v>1</v>
      </c>
      <c r="I157" s="12">
        <v>20</v>
      </c>
      <c r="J157" s="12">
        <v>0</v>
      </c>
      <c r="K157" s="12">
        <v>0</v>
      </c>
      <c r="L157" s="12">
        <v>0</v>
      </c>
      <c r="M157" s="12">
        <v>2</v>
      </c>
      <c r="N157" s="12">
        <v>1</v>
      </c>
      <c r="O157" s="12">
        <v>7</v>
      </c>
      <c r="P157" s="12">
        <v>4</v>
      </c>
      <c r="Q157" s="12">
        <v>3</v>
      </c>
      <c r="R157" s="12">
        <v>2.78</v>
      </c>
      <c r="S157" s="12">
        <v>0.13900000000000001</v>
      </c>
      <c r="T157" s="12">
        <v>21</v>
      </c>
      <c r="U157" s="12">
        <v>4</v>
      </c>
      <c r="V157" s="12">
        <v>167</v>
      </c>
      <c r="W157" s="12">
        <v>8</v>
      </c>
      <c r="X157" s="12">
        <v>0.90910000000000002</v>
      </c>
      <c r="Y157" s="12">
        <v>4.5499999999999999E-2</v>
      </c>
      <c r="Z157" s="12">
        <v>0.90910000000000002</v>
      </c>
      <c r="AA157" s="12">
        <v>0</v>
      </c>
      <c r="AB157" s="12">
        <v>0</v>
      </c>
      <c r="AC157" s="12">
        <v>2</v>
      </c>
      <c r="AD157" s="12">
        <v>1</v>
      </c>
      <c r="AE157" s="12">
        <v>0.57140000000000002</v>
      </c>
      <c r="AF157" s="12">
        <v>0.1905</v>
      </c>
      <c r="AG157" s="12">
        <v>70</v>
      </c>
    </row>
    <row r="158" spans="1:33" ht="15" x14ac:dyDescent="0.2">
      <c r="A158" s="12" t="s">
        <v>201</v>
      </c>
      <c r="B158" s="12" t="s">
        <v>138</v>
      </c>
      <c r="C158" s="12" t="s">
        <v>146</v>
      </c>
      <c r="D158" s="12" t="s">
        <v>140</v>
      </c>
      <c r="E158" s="12">
        <v>315</v>
      </c>
      <c r="F158" s="12">
        <v>15</v>
      </c>
      <c r="G158" s="12">
        <v>8</v>
      </c>
      <c r="H158" s="12">
        <v>5</v>
      </c>
      <c r="I158" s="12">
        <v>10</v>
      </c>
      <c r="J158" s="12">
        <v>0</v>
      </c>
      <c r="K158" s="12">
        <v>0</v>
      </c>
      <c r="L158" s="12">
        <v>0</v>
      </c>
      <c r="M158" s="12">
        <v>2</v>
      </c>
      <c r="N158" s="12">
        <v>2</v>
      </c>
      <c r="O158" s="12">
        <v>8</v>
      </c>
      <c r="P158" s="12">
        <v>4</v>
      </c>
      <c r="Q158" s="12">
        <v>4</v>
      </c>
      <c r="R158" s="12">
        <v>3.68</v>
      </c>
      <c r="S158" s="12">
        <v>0.311</v>
      </c>
      <c r="T158" s="12">
        <v>20</v>
      </c>
      <c r="U158" s="12">
        <v>0</v>
      </c>
      <c r="V158" s="12">
        <v>221</v>
      </c>
      <c r="W158" s="12">
        <v>19</v>
      </c>
      <c r="X158" s="12">
        <v>0.5333</v>
      </c>
      <c r="Y158" s="12">
        <v>0.33329999999999999</v>
      </c>
      <c r="Z158" s="12">
        <v>0.66669999999999996</v>
      </c>
      <c r="AA158" s="12">
        <v>0</v>
      </c>
      <c r="AB158" s="12">
        <v>0</v>
      </c>
      <c r="AC158" s="12">
        <v>2</v>
      </c>
      <c r="AD158" s="12">
        <v>2</v>
      </c>
      <c r="AE158" s="12">
        <v>0.5</v>
      </c>
      <c r="AF158" s="12">
        <v>0</v>
      </c>
      <c r="AG158" s="12">
        <v>30</v>
      </c>
    </row>
    <row r="159" spans="1:33" ht="15" x14ac:dyDescent="0.2">
      <c r="A159" s="12" t="s">
        <v>202</v>
      </c>
      <c r="B159" s="12" t="s">
        <v>138</v>
      </c>
      <c r="C159" s="12" t="s">
        <v>146</v>
      </c>
      <c r="D159" s="12" t="s">
        <v>140</v>
      </c>
      <c r="E159" s="12">
        <v>362</v>
      </c>
      <c r="F159" s="12">
        <v>18</v>
      </c>
      <c r="G159" s="12">
        <v>13</v>
      </c>
      <c r="H159" s="12">
        <v>5</v>
      </c>
      <c r="I159" s="12">
        <v>13</v>
      </c>
      <c r="J159" s="12">
        <v>0</v>
      </c>
      <c r="K159" s="12">
        <v>0</v>
      </c>
      <c r="L159" s="12">
        <v>0</v>
      </c>
      <c r="M159" s="12">
        <v>4</v>
      </c>
      <c r="N159" s="12">
        <v>4</v>
      </c>
      <c r="O159" s="12">
        <v>9</v>
      </c>
      <c r="P159" s="12">
        <v>5</v>
      </c>
      <c r="Q159" s="12">
        <v>4</v>
      </c>
      <c r="R159" s="12">
        <v>2.89</v>
      </c>
      <c r="S159" s="12">
        <v>0.21299999999999999</v>
      </c>
      <c r="T159" s="12">
        <v>20</v>
      </c>
      <c r="U159" s="12">
        <v>0</v>
      </c>
      <c r="V159" s="12">
        <v>174</v>
      </c>
      <c r="W159" s="12">
        <v>13</v>
      </c>
      <c r="X159" s="12">
        <v>0.72219999999999995</v>
      </c>
      <c r="Y159" s="12">
        <v>0.27779999999999999</v>
      </c>
      <c r="Z159" s="12">
        <v>0.72219999999999995</v>
      </c>
      <c r="AA159" s="12">
        <v>0</v>
      </c>
      <c r="AB159" s="12">
        <v>0</v>
      </c>
      <c r="AC159" s="12">
        <v>4</v>
      </c>
      <c r="AD159" s="12">
        <v>4</v>
      </c>
      <c r="AE159" s="12">
        <v>0.55559999999999998</v>
      </c>
      <c r="AF159" s="12">
        <v>0</v>
      </c>
      <c r="AG159" s="12">
        <v>30</v>
      </c>
    </row>
    <row r="160" spans="1:33" ht="15" x14ac:dyDescent="0.2">
      <c r="A160" s="12" t="s">
        <v>203</v>
      </c>
      <c r="B160" s="12" t="s">
        <v>138</v>
      </c>
      <c r="C160" s="12" t="s">
        <v>146</v>
      </c>
      <c r="D160" s="12" t="s">
        <v>140</v>
      </c>
      <c r="E160" s="12">
        <v>258</v>
      </c>
      <c r="F160" s="12">
        <v>22</v>
      </c>
      <c r="G160" s="12">
        <v>18</v>
      </c>
      <c r="H160" s="12">
        <v>4</v>
      </c>
      <c r="I160" s="12">
        <v>19</v>
      </c>
      <c r="J160" s="12">
        <v>0</v>
      </c>
      <c r="K160" s="12">
        <v>0</v>
      </c>
      <c r="L160" s="12">
        <v>0</v>
      </c>
      <c r="M160" s="12">
        <v>6</v>
      </c>
      <c r="N160" s="12">
        <v>4</v>
      </c>
      <c r="O160" s="12">
        <v>7</v>
      </c>
      <c r="P160" s="12">
        <v>1</v>
      </c>
      <c r="Q160" s="12">
        <v>6</v>
      </c>
      <c r="R160" s="12">
        <v>1.89</v>
      </c>
      <c r="S160" s="12">
        <v>0.112</v>
      </c>
      <c r="T160" s="12">
        <v>20</v>
      </c>
      <c r="U160" s="12">
        <v>4</v>
      </c>
      <c r="V160" s="12">
        <v>113</v>
      </c>
      <c r="W160" s="12">
        <v>7</v>
      </c>
      <c r="X160" s="12">
        <v>0.81820000000000004</v>
      </c>
      <c r="Y160" s="12">
        <v>0.18179999999999999</v>
      </c>
      <c r="Z160" s="12">
        <v>0.86360000000000003</v>
      </c>
      <c r="AA160" s="12">
        <v>0</v>
      </c>
      <c r="AB160" s="12">
        <v>0</v>
      </c>
      <c r="AC160" s="12">
        <v>6</v>
      </c>
      <c r="AD160" s="12">
        <v>4</v>
      </c>
      <c r="AE160" s="12">
        <v>0.1429</v>
      </c>
      <c r="AF160" s="12">
        <v>0.2</v>
      </c>
      <c r="AG160" s="12">
        <v>50</v>
      </c>
    </row>
    <row r="161" spans="1:33" ht="15" x14ac:dyDescent="0.2">
      <c r="A161" s="12" t="s">
        <v>204</v>
      </c>
      <c r="B161" s="12" t="s">
        <v>138</v>
      </c>
      <c r="C161" s="12" t="s">
        <v>146</v>
      </c>
      <c r="D161" s="12" t="s">
        <v>140</v>
      </c>
      <c r="E161" s="12">
        <v>360</v>
      </c>
      <c r="F161" s="12">
        <v>30</v>
      </c>
      <c r="G161" s="12">
        <v>25</v>
      </c>
      <c r="H161" s="12">
        <v>4</v>
      </c>
      <c r="I161" s="12">
        <v>27</v>
      </c>
      <c r="J161" s="12">
        <v>0</v>
      </c>
      <c r="K161" s="12">
        <v>0</v>
      </c>
      <c r="L161" s="12">
        <v>0</v>
      </c>
      <c r="M161" s="12">
        <v>6</v>
      </c>
      <c r="N161" s="12">
        <v>5</v>
      </c>
      <c r="O161" s="12">
        <v>8</v>
      </c>
      <c r="P161" s="12">
        <v>1</v>
      </c>
      <c r="Q161" s="12">
        <v>7</v>
      </c>
      <c r="R161" s="12">
        <v>2.04</v>
      </c>
      <c r="S161" s="12">
        <v>0.129</v>
      </c>
      <c r="T161" s="12">
        <v>20</v>
      </c>
      <c r="U161" s="12">
        <v>0</v>
      </c>
      <c r="V161" s="12">
        <v>122</v>
      </c>
      <c r="W161" s="12">
        <v>8</v>
      </c>
      <c r="X161" s="12">
        <v>0.83330000000000004</v>
      </c>
      <c r="Y161" s="12">
        <v>0.1333</v>
      </c>
      <c r="Z161" s="12">
        <v>0.9</v>
      </c>
      <c r="AA161" s="12">
        <v>0</v>
      </c>
      <c r="AB161" s="12">
        <v>0</v>
      </c>
      <c r="AC161" s="12">
        <v>6</v>
      </c>
      <c r="AD161" s="12">
        <v>5</v>
      </c>
      <c r="AE161" s="12">
        <v>0.125</v>
      </c>
      <c r="AF161" s="12">
        <v>0</v>
      </c>
      <c r="AG161" s="12">
        <v>50</v>
      </c>
    </row>
    <row r="162" spans="1:33" ht="15" x14ac:dyDescent="0.2">
      <c r="A162" s="12" t="s">
        <v>205</v>
      </c>
      <c r="B162" s="12" t="s">
        <v>138</v>
      </c>
      <c r="C162" s="12" t="s">
        <v>139</v>
      </c>
      <c r="D162" s="12" t="s">
        <v>140</v>
      </c>
      <c r="E162" s="12">
        <v>105</v>
      </c>
      <c r="F162" s="12">
        <v>6</v>
      </c>
      <c r="G162" s="12">
        <v>5</v>
      </c>
      <c r="H162" s="12">
        <v>1</v>
      </c>
      <c r="I162" s="12">
        <v>5</v>
      </c>
      <c r="J162" s="12">
        <v>0</v>
      </c>
      <c r="K162" s="12">
        <v>0</v>
      </c>
      <c r="L162" s="12">
        <v>0</v>
      </c>
      <c r="M162" s="12">
        <v>0</v>
      </c>
      <c r="N162" s="12">
        <v>2</v>
      </c>
      <c r="O162" s="12">
        <v>4</v>
      </c>
      <c r="P162" s="12">
        <v>2</v>
      </c>
      <c r="Q162" s="12">
        <v>2</v>
      </c>
      <c r="R162" s="12">
        <v>8.42</v>
      </c>
      <c r="S162" s="12">
        <v>0.48</v>
      </c>
      <c r="T162" s="12">
        <v>14</v>
      </c>
      <c r="U162" s="12">
        <v>7</v>
      </c>
      <c r="V162" s="12">
        <v>505</v>
      </c>
      <c r="W162" s="12">
        <v>29</v>
      </c>
      <c r="X162" s="12">
        <v>0.83330000000000004</v>
      </c>
      <c r="Y162" s="12">
        <v>0.16669999999999999</v>
      </c>
      <c r="Z162" s="12">
        <v>0.83330000000000004</v>
      </c>
      <c r="AA162" s="12">
        <v>0</v>
      </c>
      <c r="AB162" s="12">
        <v>0</v>
      </c>
      <c r="AC162" s="12">
        <v>0</v>
      </c>
      <c r="AD162" s="12">
        <v>2</v>
      </c>
      <c r="AE162" s="12">
        <v>0.5</v>
      </c>
      <c r="AF162" s="12">
        <v>0.5</v>
      </c>
      <c r="AG162" s="12">
        <v>56</v>
      </c>
    </row>
    <row r="163" spans="1:33" ht="15" x14ac:dyDescent="0.2">
      <c r="A163" s="12" t="s">
        <v>206</v>
      </c>
      <c r="B163" s="12" t="s">
        <v>138</v>
      </c>
      <c r="C163" s="12" t="s">
        <v>146</v>
      </c>
      <c r="D163" s="12" t="s">
        <v>140</v>
      </c>
      <c r="E163" s="12">
        <v>292</v>
      </c>
      <c r="F163" s="12">
        <v>16</v>
      </c>
      <c r="G163" s="12">
        <v>16</v>
      </c>
      <c r="H163" s="12">
        <v>0</v>
      </c>
      <c r="I163" s="12">
        <v>15</v>
      </c>
      <c r="J163" s="12">
        <v>0</v>
      </c>
      <c r="K163" s="12">
        <v>0</v>
      </c>
      <c r="L163" s="12">
        <v>0</v>
      </c>
      <c r="M163" s="12">
        <v>5</v>
      </c>
      <c r="N163" s="12">
        <v>4</v>
      </c>
      <c r="O163" s="12">
        <v>6</v>
      </c>
      <c r="P163" s="12">
        <v>0</v>
      </c>
      <c r="Q163" s="12">
        <v>6</v>
      </c>
      <c r="R163" s="12">
        <v>3.33</v>
      </c>
      <c r="S163" s="12">
        <v>0.193</v>
      </c>
      <c r="T163" s="12">
        <v>21</v>
      </c>
      <c r="U163" s="12">
        <v>4</v>
      </c>
      <c r="V163" s="12">
        <v>200</v>
      </c>
      <c r="W163" s="12">
        <v>12</v>
      </c>
      <c r="X163" s="12">
        <v>1</v>
      </c>
      <c r="Y163" s="12">
        <v>0</v>
      </c>
      <c r="Z163" s="12">
        <v>0.9375</v>
      </c>
      <c r="AA163" s="12">
        <v>0</v>
      </c>
      <c r="AB163" s="12">
        <v>0</v>
      </c>
      <c r="AC163" s="12">
        <v>5</v>
      </c>
      <c r="AD163" s="12">
        <v>4</v>
      </c>
      <c r="AE163" s="12">
        <v>0</v>
      </c>
      <c r="AF163" s="12">
        <v>0.1905</v>
      </c>
      <c r="AG163" s="12">
        <v>60</v>
      </c>
    </row>
    <row r="164" spans="1:33" ht="15" x14ac:dyDescent="0.2">
      <c r="A164" s="12" t="s">
        <v>207</v>
      </c>
      <c r="B164" s="12" t="s">
        <v>138</v>
      </c>
      <c r="C164" s="12" t="s">
        <v>146</v>
      </c>
      <c r="D164" s="12" t="s">
        <v>140</v>
      </c>
      <c r="E164" s="12">
        <v>356</v>
      </c>
      <c r="F164" s="12">
        <v>31</v>
      </c>
      <c r="G164" s="12">
        <v>24</v>
      </c>
      <c r="H164" s="12">
        <v>5</v>
      </c>
      <c r="I164" s="12">
        <v>25</v>
      </c>
      <c r="J164" s="12">
        <v>0</v>
      </c>
      <c r="K164" s="12">
        <v>0</v>
      </c>
      <c r="L164" s="12">
        <v>0</v>
      </c>
      <c r="M164" s="12">
        <v>9</v>
      </c>
      <c r="N164" s="12">
        <v>6</v>
      </c>
      <c r="O164" s="12">
        <v>9</v>
      </c>
      <c r="P164" s="12">
        <v>0</v>
      </c>
      <c r="Q164" s="12">
        <v>9</v>
      </c>
      <c r="R164" s="12">
        <v>2.57</v>
      </c>
      <c r="S164" s="12">
        <v>0.253</v>
      </c>
      <c r="T164" s="12">
        <v>21</v>
      </c>
      <c r="U164" s="12">
        <v>0</v>
      </c>
      <c r="V164" s="12">
        <v>154</v>
      </c>
      <c r="W164" s="12">
        <v>15</v>
      </c>
      <c r="X164" s="12">
        <v>0.7742</v>
      </c>
      <c r="Y164" s="12">
        <v>0.1613</v>
      </c>
      <c r="Z164" s="12">
        <v>0.80649999999999999</v>
      </c>
      <c r="AA164" s="12">
        <v>0</v>
      </c>
      <c r="AB164" s="12">
        <v>0</v>
      </c>
      <c r="AC164" s="12">
        <v>9</v>
      </c>
      <c r="AD164" s="12">
        <v>6</v>
      </c>
      <c r="AE164" s="12">
        <v>0</v>
      </c>
      <c r="AF164" s="12">
        <v>0</v>
      </c>
      <c r="AG164" s="12">
        <v>35</v>
      </c>
    </row>
    <row r="165" spans="1:33" ht="15" x14ac:dyDescent="0.2">
      <c r="A165" s="12" t="s">
        <v>208</v>
      </c>
      <c r="B165" s="12" t="s">
        <v>138</v>
      </c>
      <c r="C165" s="12" t="s">
        <v>139</v>
      </c>
      <c r="D165" s="12" t="s">
        <v>140</v>
      </c>
      <c r="E165" s="12">
        <v>309</v>
      </c>
      <c r="F165" s="12">
        <v>43</v>
      </c>
      <c r="G165" s="12">
        <v>37</v>
      </c>
      <c r="H165" s="12">
        <v>6</v>
      </c>
      <c r="I165" s="12">
        <v>36</v>
      </c>
      <c r="J165" s="12">
        <v>0</v>
      </c>
      <c r="K165" s="12">
        <v>0</v>
      </c>
      <c r="L165" s="12">
        <v>0</v>
      </c>
      <c r="M165" s="12">
        <v>0</v>
      </c>
      <c r="N165" s="12">
        <v>1</v>
      </c>
      <c r="O165" s="12">
        <v>7</v>
      </c>
      <c r="P165" s="12">
        <v>6</v>
      </c>
      <c r="Q165" s="12">
        <v>1</v>
      </c>
      <c r="R165" s="12">
        <v>4.28</v>
      </c>
      <c r="S165" s="12">
        <v>0.21099999999999999</v>
      </c>
      <c r="T165" s="12">
        <v>21</v>
      </c>
      <c r="U165" s="12">
        <v>1</v>
      </c>
      <c r="V165" s="12">
        <v>257</v>
      </c>
      <c r="W165" s="12">
        <v>13</v>
      </c>
      <c r="X165" s="12">
        <v>0.86050000000000004</v>
      </c>
      <c r="Y165" s="12">
        <v>0.13950000000000001</v>
      </c>
      <c r="Z165" s="12">
        <v>0.83720000000000006</v>
      </c>
      <c r="AA165" s="12">
        <v>0</v>
      </c>
      <c r="AB165" s="12">
        <v>0</v>
      </c>
      <c r="AC165" s="12">
        <v>0</v>
      </c>
      <c r="AD165" s="12">
        <v>1</v>
      </c>
      <c r="AE165" s="12">
        <v>0.85709999999999997</v>
      </c>
      <c r="AF165" s="12">
        <v>4.7600000000000003E-2</v>
      </c>
      <c r="AG165" s="12">
        <v>75</v>
      </c>
    </row>
    <row r="166" spans="1:33" ht="15" x14ac:dyDescent="0.2">
      <c r="A166" s="12" t="s">
        <v>209</v>
      </c>
      <c r="B166" s="12" t="s">
        <v>138</v>
      </c>
      <c r="C166" s="12" t="s">
        <v>154</v>
      </c>
      <c r="D166" s="12" t="s">
        <v>140</v>
      </c>
      <c r="E166" s="12">
        <v>460</v>
      </c>
      <c r="F166" s="12">
        <v>42</v>
      </c>
      <c r="G166" s="12">
        <v>36</v>
      </c>
      <c r="H166" s="12">
        <v>4</v>
      </c>
      <c r="I166" s="12">
        <v>33</v>
      </c>
      <c r="J166" s="12">
        <v>0</v>
      </c>
      <c r="K166" s="12">
        <v>0</v>
      </c>
      <c r="L166" s="12">
        <v>0</v>
      </c>
      <c r="M166" s="12">
        <v>2</v>
      </c>
      <c r="N166" s="12">
        <v>3</v>
      </c>
      <c r="O166" s="12">
        <v>8</v>
      </c>
      <c r="P166" s="12">
        <v>4</v>
      </c>
      <c r="Q166" s="12">
        <v>4</v>
      </c>
      <c r="R166" s="12">
        <v>3.73</v>
      </c>
      <c r="S166" s="12">
        <v>0.128</v>
      </c>
      <c r="T166" s="12">
        <v>20</v>
      </c>
      <c r="U166" s="12">
        <v>0</v>
      </c>
      <c r="V166" s="12">
        <v>224</v>
      </c>
      <c r="W166" s="12">
        <v>8</v>
      </c>
      <c r="X166" s="12">
        <v>0.85709999999999997</v>
      </c>
      <c r="Y166" s="12">
        <v>9.5200000000000007E-2</v>
      </c>
      <c r="Z166" s="12">
        <v>0.78569999999999995</v>
      </c>
      <c r="AA166" s="12">
        <v>0</v>
      </c>
      <c r="AB166" s="12">
        <v>0</v>
      </c>
      <c r="AC166" s="12">
        <v>2</v>
      </c>
      <c r="AD166" s="12">
        <v>3</v>
      </c>
      <c r="AE166" s="12">
        <v>0.5</v>
      </c>
      <c r="AF166" s="12">
        <v>0</v>
      </c>
      <c r="AG166" s="12">
        <v>52</v>
      </c>
    </row>
    <row r="167" spans="1:33" ht="15" x14ac:dyDescent="0.2">
      <c r="A167" s="12" t="s">
        <v>210</v>
      </c>
      <c r="B167" s="12" t="s">
        <v>30</v>
      </c>
      <c r="C167" s="12" t="s">
        <v>144</v>
      </c>
      <c r="D167" s="12" t="s">
        <v>39</v>
      </c>
      <c r="E167" s="12">
        <v>177</v>
      </c>
      <c r="F167" s="12">
        <v>39</v>
      </c>
      <c r="G167" s="12">
        <v>26</v>
      </c>
      <c r="H167" s="12">
        <v>13</v>
      </c>
      <c r="I167" s="12">
        <v>24</v>
      </c>
      <c r="J167" s="12">
        <v>0</v>
      </c>
      <c r="K167" s="12">
        <v>0</v>
      </c>
      <c r="L167" s="12">
        <v>0</v>
      </c>
      <c r="M167" s="12">
        <v>2</v>
      </c>
      <c r="N167" s="12">
        <v>2</v>
      </c>
      <c r="O167" s="12">
        <v>5</v>
      </c>
      <c r="P167" s="12">
        <v>2</v>
      </c>
      <c r="Q167" s="12">
        <v>3</v>
      </c>
      <c r="R167" s="12">
        <v>0</v>
      </c>
      <c r="S167" s="12">
        <v>0</v>
      </c>
      <c r="T167" s="12">
        <v>12</v>
      </c>
      <c r="U167" s="12">
        <v>1</v>
      </c>
      <c r="V167" s="12">
        <v>0</v>
      </c>
      <c r="W167" s="12">
        <v>0</v>
      </c>
      <c r="X167" s="12">
        <v>0.66669999999999996</v>
      </c>
      <c r="Y167" s="12">
        <v>0.33329999999999999</v>
      </c>
      <c r="Z167" s="12">
        <v>0.61539999999999995</v>
      </c>
      <c r="AA167" s="12">
        <v>0</v>
      </c>
      <c r="AB167" s="12">
        <v>0</v>
      </c>
      <c r="AC167" s="12">
        <v>2</v>
      </c>
      <c r="AD167" s="12">
        <v>2</v>
      </c>
      <c r="AE167" s="12">
        <v>0.4</v>
      </c>
      <c r="AF167" s="12">
        <v>8.3299999999999999E-2</v>
      </c>
      <c r="AG167" s="12">
        <v>55</v>
      </c>
    </row>
    <row r="168" spans="1:33" ht="15" x14ac:dyDescent="0.2">
      <c r="A168" s="12" t="s">
        <v>211</v>
      </c>
      <c r="B168" s="12" t="s">
        <v>138</v>
      </c>
      <c r="C168" s="12" t="s">
        <v>154</v>
      </c>
      <c r="D168" s="12" t="s">
        <v>140</v>
      </c>
      <c r="E168" s="12">
        <v>432</v>
      </c>
      <c r="F168" s="12">
        <v>47</v>
      </c>
      <c r="G168" s="12">
        <v>42</v>
      </c>
      <c r="H168" s="12">
        <v>4</v>
      </c>
      <c r="I168" s="12">
        <v>37</v>
      </c>
      <c r="J168" s="12">
        <v>0</v>
      </c>
      <c r="K168" s="12">
        <v>0</v>
      </c>
      <c r="L168" s="12">
        <v>0</v>
      </c>
      <c r="M168" s="12">
        <v>1</v>
      </c>
      <c r="N168" s="12">
        <v>1</v>
      </c>
      <c r="O168" s="12">
        <v>8</v>
      </c>
      <c r="P168" s="12">
        <v>7</v>
      </c>
      <c r="Q168" s="12">
        <v>1</v>
      </c>
      <c r="R168" s="12">
        <v>3.28</v>
      </c>
      <c r="S168" s="12">
        <v>0.14599999999999999</v>
      </c>
      <c r="T168" s="12">
        <v>20</v>
      </c>
      <c r="U168" s="12">
        <v>0</v>
      </c>
      <c r="V168" s="12">
        <v>197</v>
      </c>
      <c r="W168" s="12">
        <v>9</v>
      </c>
      <c r="X168" s="12">
        <v>0.89359999999999995</v>
      </c>
      <c r="Y168" s="12">
        <v>8.5099999999999995E-2</v>
      </c>
      <c r="Z168" s="12">
        <v>0.78720000000000001</v>
      </c>
      <c r="AA168" s="12">
        <v>0</v>
      </c>
      <c r="AB168" s="12">
        <v>0</v>
      </c>
      <c r="AC168" s="12">
        <v>1</v>
      </c>
      <c r="AD168" s="12">
        <v>1</v>
      </c>
      <c r="AE168" s="12">
        <v>0.875</v>
      </c>
      <c r="AF168" s="12">
        <v>0</v>
      </c>
      <c r="AG168" s="12">
        <v>67</v>
      </c>
    </row>
    <row r="169" spans="1:33" ht="15" x14ac:dyDescent="0.2">
      <c r="A169" s="12" t="s">
        <v>212</v>
      </c>
      <c r="B169" s="12" t="s">
        <v>30</v>
      </c>
      <c r="C169" s="12" t="s">
        <v>144</v>
      </c>
      <c r="D169" s="12" t="s">
        <v>39</v>
      </c>
      <c r="E169" s="12">
        <v>205</v>
      </c>
      <c r="F169" s="12">
        <v>27</v>
      </c>
      <c r="G169" s="12">
        <v>17</v>
      </c>
      <c r="H169" s="12">
        <v>10</v>
      </c>
      <c r="I169" s="12">
        <v>16</v>
      </c>
      <c r="J169" s="12">
        <v>0</v>
      </c>
      <c r="K169" s="12">
        <v>0</v>
      </c>
      <c r="L169" s="12">
        <v>0</v>
      </c>
      <c r="M169" s="12">
        <v>3</v>
      </c>
      <c r="N169" s="12">
        <v>4</v>
      </c>
      <c r="O169" s="12">
        <v>8</v>
      </c>
      <c r="P169" s="12">
        <v>4</v>
      </c>
      <c r="Q169" s="12">
        <v>4</v>
      </c>
      <c r="R169" s="12">
        <v>0</v>
      </c>
      <c r="S169" s="12">
        <v>0</v>
      </c>
      <c r="T169" s="12">
        <v>12</v>
      </c>
      <c r="U169" s="12">
        <v>0</v>
      </c>
      <c r="V169" s="12">
        <v>0</v>
      </c>
      <c r="W169" s="12">
        <v>0</v>
      </c>
      <c r="X169" s="12">
        <v>0.62960000000000005</v>
      </c>
      <c r="Y169" s="12">
        <v>0.37040000000000001</v>
      </c>
      <c r="Z169" s="12">
        <v>0.59260000000000002</v>
      </c>
      <c r="AA169" s="12">
        <v>0</v>
      </c>
      <c r="AB169" s="12">
        <v>0</v>
      </c>
      <c r="AC169" s="12">
        <v>3</v>
      </c>
      <c r="AD169" s="12">
        <v>4</v>
      </c>
      <c r="AE169" s="12">
        <v>0.5</v>
      </c>
      <c r="AF169" s="12">
        <v>0</v>
      </c>
      <c r="AG169" s="12">
        <v>40</v>
      </c>
    </row>
    <row r="170" spans="1:33" ht="15" x14ac:dyDescent="0.2">
      <c r="A170" s="12" t="s">
        <v>213</v>
      </c>
      <c r="B170" s="12" t="s">
        <v>138</v>
      </c>
      <c r="C170" s="12" t="s">
        <v>139</v>
      </c>
      <c r="D170" s="12" t="s">
        <v>140</v>
      </c>
      <c r="E170" s="12">
        <v>234</v>
      </c>
      <c r="F170" s="12">
        <v>28</v>
      </c>
      <c r="G170" s="12">
        <v>23</v>
      </c>
      <c r="H170" s="12">
        <v>5</v>
      </c>
      <c r="I170" s="12">
        <v>25</v>
      </c>
      <c r="J170" s="12">
        <v>0</v>
      </c>
      <c r="K170" s="12">
        <v>0</v>
      </c>
      <c r="L170" s="12">
        <v>0</v>
      </c>
      <c r="M170" s="12">
        <v>0</v>
      </c>
      <c r="N170" s="12">
        <v>1</v>
      </c>
      <c r="O170" s="12">
        <v>7</v>
      </c>
      <c r="P170" s="12">
        <v>6</v>
      </c>
      <c r="Q170" s="12">
        <v>1</v>
      </c>
      <c r="R170" s="12">
        <v>2.5499999999999998</v>
      </c>
      <c r="S170" s="12">
        <v>0.14799999999999999</v>
      </c>
      <c r="T170" s="12">
        <v>20</v>
      </c>
      <c r="U170" s="12">
        <v>0</v>
      </c>
      <c r="V170" s="12">
        <v>153</v>
      </c>
      <c r="W170" s="12">
        <v>9</v>
      </c>
      <c r="X170" s="12">
        <v>0.82140000000000002</v>
      </c>
      <c r="Y170" s="12">
        <v>0.17860000000000001</v>
      </c>
      <c r="Z170" s="12">
        <v>0.89290000000000003</v>
      </c>
      <c r="AA170" s="12">
        <v>0</v>
      </c>
      <c r="AB170" s="12">
        <v>0</v>
      </c>
      <c r="AC170" s="12">
        <v>0</v>
      </c>
      <c r="AD170" s="12">
        <v>1</v>
      </c>
      <c r="AE170" s="12">
        <v>0.85709999999999997</v>
      </c>
      <c r="AF170" s="12">
        <v>0</v>
      </c>
      <c r="AG170" s="12">
        <v>70</v>
      </c>
    </row>
    <row r="171" spans="1:33" ht="15" x14ac:dyDescent="0.2">
      <c r="A171" s="12" t="s">
        <v>214</v>
      </c>
      <c r="B171" s="12" t="s">
        <v>138</v>
      </c>
      <c r="C171" s="12" t="s">
        <v>154</v>
      </c>
      <c r="D171" s="12" t="s">
        <v>140</v>
      </c>
      <c r="E171" s="12">
        <v>229</v>
      </c>
      <c r="F171" s="12">
        <v>9</v>
      </c>
      <c r="G171" s="12">
        <v>6</v>
      </c>
      <c r="H171" s="12">
        <v>2</v>
      </c>
      <c r="I171" s="12">
        <v>6</v>
      </c>
      <c r="J171" s="12">
        <v>1</v>
      </c>
      <c r="K171" s="12">
        <v>0</v>
      </c>
      <c r="L171" s="12">
        <v>1</v>
      </c>
      <c r="M171" s="12">
        <v>5</v>
      </c>
      <c r="N171" s="12">
        <v>4</v>
      </c>
      <c r="O171" s="12">
        <v>5</v>
      </c>
      <c r="P171" s="12">
        <v>0</v>
      </c>
      <c r="Q171" s="12">
        <v>5</v>
      </c>
      <c r="R171" s="12">
        <v>7.45</v>
      </c>
      <c r="S171" s="12">
        <v>0.50800000000000001</v>
      </c>
      <c r="T171" s="12">
        <v>20</v>
      </c>
      <c r="U171" s="12">
        <v>3</v>
      </c>
      <c r="V171" s="12">
        <v>447</v>
      </c>
      <c r="W171" s="12">
        <v>31</v>
      </c>
      <c r="X171" s="12">
        <v>0.66669999999999996</v>
      </c>
      <c r="Y171" s="12">
        <v>0.22220000000000001</v>
      </c>
      <c r="Z171" s="12">
        <v>0.66669999999999996</v>
      </c>
      <c r="AA171" s="12">
        <v>1</v>
      </c>
      <c r="AB171" s="12">
        <v>0</v>
      </c>
      <c r="AC171" s="12">
        <v>5</v>
      </c>
      <c r="AD171" s="12">
        <v>4</v>
      </c>
      <c r="AE171" s="12">
        <v>0</v>
      </c>
      <c r="AF171" s="12">
        <v>0.15</v>
      </c>
      <c r="AG171" s="12">
        <v>15</v>
      </c>
    </row>
    <row r="172" spans="1:33" ht="15" x14ac:dyDescent="0.2">
      <c r="A172" s="12" t="s">
        <v>215</v>
      </c>
      <c r="B172" s="12" t="s">
        <v>30</v>
      </c>
      <c r="C172" s="12" t="s">
        <v>144</v>
      </c>
      <c r="D172" s="12" t="s">
        <v>39</v>
      </c>
      <c r="E172" s="12">
        <v>184</v>
      </c>
      <c r="F172" s="12">
        <v>18</v>
      </c>
      <c r="G172" s="12">
        <v>9</v>
      </c>
      <c r="H172" s="12">
        <v>7</v>
      </c>
      <c r="I172" s="12">
        <v>9</v>
      </c>
      <c r="J172" s="12">
        <v>0</v>
      </c>
      <c r="K172" s="12">
        <v>0</v>
      </c>
      <c r="L172" s="12">
        <v>0</v>
      </c>
      <c r="M172" s="12">
        <v>3</v>
      </c>
      <c r="N172" s="12">
        <v>3</v>
      </c>
      <c r="O172" s="12">
        <v>5</v>
      </c>
      <c r="P172" s="12">
        <v>1</v>
      </c>
      <c r="Q172" s="12">
        <v>4</v>
      </c>
      <c r="R172" s="12">
        <v>0</v>
      </c>
      <c r="S172" s="12">
        <v>0</v>
      </c>
      <c r="T172" s="12">
        <v>12</v>
      </c>
      <c r="U172" s="12">
        <v>1</v>
      </c>
      <c r="V172" s="12">
        <v>0</v>
      </c>
      <c r="W172" s="12">
        <v>0</v>
      </c>
      <c r="X172" s="12">
        <v>0.5</v>
      </c>
      <c r="Y172" s="12">
        <v>0.38890000000000002</v>
      </c>
      <c r="Z172" s="12">
        <v>0.5</v>
      </c>
      <c r="AA172" s="12">
        <v>0</v>
      </c>
      <c r="AB172" s="12">
        <v>0</v>
      </c>
      <c r="AC172" s="12">
        <v>3</v>
      </c>
      <c r="AD172" s="12">
        <v>3</v>
      </c>
      <c r="AE172" s="12">
        <v>0.2</v>
      </c>
      <c r="AF172" s="12">
        <v>8.3299999999999999E-2</v>
      </c>
      <c r="AG172" s="12">
        <v>25</v>
      </c>
    </row>
    <row r="173" spans="1:33" ht="15" x14ac:dyDescent="0.2">
      <c r="A173" s="12" t="s">
        <v>216</v>
      </c>
      <c r="B173" s="12" t="s">
        <v>138</v>
      </c>
      <c r="C173" s="12" t="s">
        <v>139</v>
      </c>
      <c r="D173" s="12" t="s">
        <v>140</v>
      </c>
      <c r="E173" s="12">
        <v>362</v>
      </c>
      <c r="F173" s="12">
        <v>30</v>
      </c>
      <c r="G173" s="12">
        <v>21</v>
      </c>
      <c r="H173" s="12">
        <v>5</v>
      </c>
      <c r="I173" s="12">
        <v>23</v>
      </c>
      <c r="J173" s="12">
        <v>0</v>
      </c>
      <c r="K173" s="12">
        <v>0</v>
      </c>
      <c r="L173" s="12">
        <v>0</v>
      </c>
      <c r="M173" s="12">
        <v>1</v>
      </c>
      <c r="N173" s="12">
        <v>3</v>
      </c>
      <c r="O173" s="12">
        <v>8</v>
      </c>
      <c r="P173" s="12">
        <v>5</v>
      </c>
      <c r="Q173" s="12">
        <v>3</v>
      </c>
      <c r="R173" s="12">
        <v>6.97</v>
      </c>
      <c r="S173" s="12">
        <v>0.312</v>
      </c>
      <c r="T173" s="12">
        <v>21</v>
      </c>
      <c r="U173" s="12">
        <v>1</v>
      </c>
      <c r="V173" s="12">
        <v>418</v>
      </c>
      <c r="W173" s="12">
        <v>19</v>
      </c>
      <c r="X173" s="12">
        <v>0.7</v>
      </c>
      <c r="Y173" s="12">
        <v>0.16669999999999999</v>
      </c>
      <c r="Z173" s="12">
        <v>0.76670000000000005</v>
      </c>
      <c r="AA173" s="12">
        <v>0</v>
      </c>
      <c r="AB173" s="12">
        <v>0</v>
      </c>
      <c r="AC173" s="12">
        <v>1</v>
      </c>
      <c r="AD173" s="12">
        <v>3</v>
      </c>
      <c r="AE173" s="12">
        <v>0.625</v>
      </c>
      <c r="AF173" s="12">
        <v>4.7600000000000003E-2</v>
      </c>
      <c r="AG173" s="12">
        <v>37</v>
      </c>
    </row>
    <row r="174" spans="1:33" ht="15" x14ac:dyDescent="0.2">
      <c r="A174" s="12" t="s">
        <v>217</v>
      </c>
      <c r="B174" s="12" t="s">
        <v>138</v>
      </c>
      <c r="C174" s="12" t="s">
        <v>154</v>
      </c>
      <c r="D174" s="12" t="s">
        <v>140</v>
      </c>
      <c r="E174" s="12">
        <v>540</v>
      </c>
      <c r="F174" s="12">
        <v>42</v>
      </c>
      <c r="G174" s="12">
        <v>36</v>
      </c>
      <c r="H174" s="12">
        <v>4</v>
      </c>
      <c r="I174" s="12">
        <v>35</v>
      </c>
      <c r="J174" s="12">
        <v>0</v>
      </c>
      <c r="K174" s="12">
        <v>0</v>
      </c>
      <c r="L174" s="12">
        <v>0</v>
      </c>
      <c r="M174" s="12">
        <v>3</v>
      </c>
      <c r="N174" s="12">
        <v>3</v>
      </c>
      <c r="O174" s="12">
        <v>8</v>
      </c>
      <c r="P174" s="12">
        <v>4</v>
      </c>
      <c r="Q174" s="12">
        <v>4</v>
      </c>
      <c r="R174" s="12">
        <v>4.1500000000000004</v>
      </c>
      <c r="S174" s="12">
        <v>0.20799999999999999</v>
      </c>
      <c r="T174" s="12">
        <v>20</v>
      </c>
      <c r="U174" s="12">
        <v>0</v>
      </c>
      <c r="V174" s="12">
        <v>249</v>
      </c>
      <c r="W174" s="12">
        <v>12</v>
      </c>
      <c r="X174" s="12">
        <v>0.85709999999999997</v>
      </c>
      <c r="Y174" s="12">
        <v>9.5200000000000007E-2</v>
      </c>
      <c r="Z174" s="12">
        <v>0.83330000000000004</v>
      </c>
      <c r="AA174" s="12">
        <v>0</v>
      </c>
      <c r="AB174" s="12">
        <v>0</v>
      </c>
      <c r="AC174" s="12">
        <v>3</v>
      </c>
      <c r="AD174" s="12">
        <v>3</v>
      </c>
      <c r="AE174" s="12">
        <v>0.5</v>
      </c>
      <c r="AF174" s="12">
        <v>0</v>
      </c>
      <c r="AG174" s="12">
        <v>55</v>
      </c>
    </row>
    <row r="175" spans="1:33" ht="15" x14ac:dyDescent="0.2">
      <c r="A175" s="12" t="s">
        <v>218</v>
      </c>
      <c r="B175" s="12" t="s">
        <v>30</v>
      </c>
      <c r="C175" s="12" t="s">
        <v>144</v>
      </c>
      <c r="D175" s="12" t="s">
        <v>39</v>
      </c>
      <c r="E175" s="12">
        <v>203</v>
      </c>
      <c r="F175" s="12">
        <v>22</v>
      </c>
      <c r="G175" s="12">
        <v>12</v>
      </c>
      <c r="H175" s="12">
        <v>8</v>
      </c>
      <c r="I175" s="12">
        <v>13</v>
      </c>
      <c r="J175" s="12">
        <v>0</v>
      </c>
      <c r="K175" s="12">
        <v>0</v>
      </c>
      <c r="L175" s="12">
        <v>0</v>
      </c>
      <c r="M175" s="12">
        <v>3</v>
      </c>
      <c r="N175" s="12">
        <v>2</v>
      </c>
      <c r="O175" s="12">
        <v>6</v>
      </c>
      <c r="P175" s="12">
        <v>3</v>
      </c>
      <c r="Q175" s="12">
        <v>3</v>
      </c>
      <c r="R175" s="12">
        <v>0</v>
      </c>
      <c r="S175" s="12">
        <v>0</v>
      </c>
      <c r="T175" s="12">
        <v>11</v>
      </c>
      <c r="U175" s="12">
        <v>0</v>
      </c>
      <c r="V175" s="12">
        <v>0</v>
      </c>
      <c r="W175" s="12">
        <v>0</v>
      </c>
      <c r="X175" s="12">
        <v>0.54549999999999998</v>
      </c>
      <c r="Y175" s="12">
        <v>0.36359999999999998</v>
      </c>
      <c r="Z175" s="12">
        <v>0.59089999999999998</v>
      </c>
      <c r="AA175" s="12">
        <v>0</v>
      </c>
      <c r="AB175" s="12">
        <v>0</v>
      </c>
      <c r="AC175" s="12">
        <v>3</v>
      </c>
      <c r="AD175" s="12">
        <v>2</v>
      </c>
      <c r="AE175" s="12">
        <v>0.5</v>
      </c>
      <c r="AF175" s="12">
        <v>0</v>
      </c>
      <c r="AG175" s="12">
        <v>25</v>
      </c>
    </row>
    <row r="176" spans="1:33" ht="15" x14ac:dyDescent="0.2">
      <c r="A176" s="12" t="s">
        <v>219</v>
      </c>
      <c r="B176" s="12" t="s">
        <v>138</v>
      </c>
      <c r="C176" s="12" t="s">
        <v>139</v>
      </c>
      <c r="D176" s="12" t="s">
        <v>140</v>
      </c>
      <c r="E176" s="12">
        <v>294</v>
      </c>
      <c r="F176" s="12">
        <v>14</v>
      </c>
      <c r="G176" s="12">
        <v>12</v>
      </c>
      <c r="H176" s="12">
        <v>2</v>
      </c>
      <c r="I176" s="12">
        <v>10</v>
      </c>
      <c r="J176" s="12">
        <v>0</v>
      </c>
      <c r="K176" s="12">
        <v>0</v>
      </c>
      <c r="L176" s="12">
        <v>0</v>
      </c>
      <c r="M176" s="12">
        <v>2</v>
      </c>
      <c r="N176" s="12">
        <v>1</v>
      </c>
      <c r="O176" s="12">
        <v>7</v>
      </c>
      <c r="P176" s="12">
        <v>5</v>
      </c>
      <c r="Q176" s="12">
        <v>2</v>
      </c>
      <c r="R176" s="12">
        <v>3.02</v>
      </c>
      <c r="S176" s="12">
        <v>0.216</v>
      </c>
      <c r="T176" s="12">
        <v>21</v>
      </c>
      <c r="U176" s="12">
        <v>1</v>
      </c>
      <c r="V176" s="12">
        <v>181</v>
      </c>
      <c r="W176" s="12">
        <v>13</v>
      </c>
      <c r="X176" s="12">
        <v>0.85709999999999997</v>
      </c>
      <c r="Y176" s="12">
        <v>0.1429</v>
      </c>
      <c r="Z176" s="12">
        <v>0.71430000000000005</v>
      </c>
      <c r="AA176" s="12">
        <v>0</v>
      </c>
      <c r="AB176" s="12">
        <v>0</v>
      </c>
      <c r="AC176" s="12">
        <v>2</v>
      </c>
      <c r="AD176" s="12">
        <v>1</v>
      </c>
      <c r="AE176" s="12">
        <v>0.71430000000000005</v>
      </c>
      <c r="AF176" s="12">
        <v>4.7600000000000003E-2</v>
      </c>
      <c r="AG176" s="12">
        <v>60</v>
      </c>
    </row>
    <row r="177" spans="1:33" ht="15" x14ac:dyDescent="0.2">
      <c r="A177" s="12" t="s">
        <v>220</v>
      </c>
      <c r="B177" s="12" t="s">
        <v>30</v>
      </c>
      <c r="C177" s="12" t="s">
        <v>144</v>
      </c>
      <c r="D177" s="12" t="s">
        <v>39</v>
      </c>
      <c r="E177" s="12">
        <v>153</v>
      </c>
      <c r="F177" s="12">
        <v>17</v>
      </c>
      <c r="G177" s="12">
        <v>6</v>
      </c>
      <c r="H177" s="12">
        <v>8</v>
      </c>
      <c r="I177" s="12">
        <v>7</v>
      </c>
      <c r="J177" s="12">
        <v>0</v>
      </c>
      <c r="K177" s="12">
        <v>1</v>
      </c>
      <c r="L177" s="12">
        <v>1</v>
      </c>
      <c r="M177" s="12">
        <v>4</v>
      </c>
      <c r="N177" s="12">
        <v>4</v>
      </c>
      <c r="O177" s="12">
        <v>6</v>
      </c>
      <c r="P177" s="12">
        <v>1</v>
      </c>
      <c r="Q177" s="12">
        <v>5</v>
      </c>
      <c r="R177" s="12">
        <v>0.01</v>
      </c>
      <c r="S177" s="12">
        <v>0</v>
      </c>
      <c r="T177" s="12">
        <v>12</v>
      </c>
      <c r="U177" s="12">
        <v>3</v>
      </c>
      <c r="V177" s="12">
        <v>0</v>
      </c>
      <c r="W177" s="12">
        <v>0</v>
      </c>
      <c r="X177" s="12">
        <v>0.35289999999999999</v>
      </c>
      <c r="Y177" s="12">
        <v>0.47060000000000002</v>
      </c>
      <c r="Z177" s="12">
        <v>0.4118</v>
      </c>
      <c r="AA177" s="12">
        <v>0</v>
      </c>
      <c r="AB177" s="12">
        <v>1</v>
      </c>
      <c r="AC177" s="12">
        <v>4</v>
      </c>
      <c r="AD177" s="12">
        <v>4</v>
      </c>
      <c r="AE177" s="12">
        <v>0.16669999999999999</v>
      </c>
      <c r="AF177" s="12">
        <v>0.25</v>
      </c>
      <c r="AG177" s="12">
        <v>25</v>
      </c>
    </row>
    <row r="178" spans="1:33" ht="15" x14ac:dyDescent="0.2">
      <c r="A178" s="12" t="s">
        <v>221</v>
      </c>
      <c r="B178" s="12" t="s">
        <v>138</v>
      </c>
      <c r="C178" s="12" t="s">
        <v>154</v>
      </c>
      <c r="D178" s="12" t="s">
        <v>140</v>
      </c>
      <c r="E178" s="12">
        <v>471</v>
      </c>
      <c r="F178" s="12">
        <v>34</v>
      </c>
      <c r="G178" s="12">
        <v>26</v>
      </c>
      <c r="H178" s="12">
        <v>6</v>
      </c>
      <c r="I178" s="12">
        <v>25</v>
      </c>
      <c r="J178" s="12">
        <v>0</v>
      </c>
      <c r="K178" s="12">
        <v>0</v>
      </c>
      <c r="L178" s="12">
        <v>0</v>
      </c>
      <c r="M178" s="12">
        <v>3</v>
      </c>
      <c r="N178" s="12">
        <v>2</v>
      </c>
      <c r="O178" s="12">
        <v>6</v>
      </c>
      <c r="P178" s="12">
        <v>2</v>
      </c>
      <c r="Q178" s="12">
        <v>4</v>
      </c>
      <c r="R178" s="12">
        <v>3.32</v>
      </c>
      <c r="S178" s="12">
        <v>0.186</v>
      </c>
      <c r="T178" s="12">
        <v>21</v>
      </c>
      <c r="U178" s="12">
        <v>4</v>
      </c>
      <c r="V178" s="12">
        <v>199</v>
      </c>
      <c r="W178" s="12">
        <v>11</v>
      </c>
      <c r="X178" s="12">
        <v>0.76470000000000005</v>
      </c>
      <c r="Y178" s="12">
        <v>0.17649999999999999</v>
      </c>
      <c r="Z178" s="12">
        <v>0.73529999999999995</v>
      </c>
      <c r="AA178" s="12">
        <v>0</v>
      </c>
      <c r="AB178" s="12">
        <v>0</v>
      </c>
      <c r="AC178" s="12">
        <v>3</v>
      </c>
      <c r="AD178" s="12">
        <v>2</v>
      </c>
      <c r="AE178" s="12">
        <v>0.33329999999999999</v>
      </c>
      <c r="AF178" s="12">
        <v>0.1905</v>
      </c>
      <c r="AG178" s="12">
        <v>30</v>
      </c>
    </row>
    <row r="179" spans="1:33" ht="15" x14ac:dyDescent="0.2">
      <c r="A179" s="12" t="s">
        <v>222</v>
      </c>
      <c r="B179" s="12" t="s">
        <v>30</v>
      </c>
      <c r="C179" s="12" t="s">
        <v>144</v>
      </c>
      <c r="D179" s="12" t="s">
        <v>39</v>
      </c>
      <c r="E179" s="12">
        <v>173</v>
      </c>
      <c r="F179" s="12">
        <v>17</v>
      </c>
      <c r="G179" s="12">
        <v>14</v>
      </c>
      <c r="H179" s="12">
        <v>3</v>
      </c>
      <c r="I179" s="12">
        <v>13</v>
      </c>
      <c r="J179" s="12">
        <v>1</v>
      </c>
      <c r="K179" s="12">
        <v>1</v>
      </c>
      <c r="L179" s="12">
        <v>1</v>
      </c>
      <c r="M179" s="12">
        <v>2</v>
      </c>
      <c r="N179" s="12">
        <v>3</v>
      </c>
      <c r="O179" s="12">
        <v>6</v>
      </c>
      <c r="P179" s="12">
        <v>2</v>
      </c>
      <c r="Q179" s="12">
        <v>4</v>
      </c>
      <c r="R179" s="12">
        <v>0</v>
      </c>
      <c r="S179" s="12">
        <v>0</v>
      </c>
      <c r="T179" s="12">
        <v>12</v>
      </c>
      <c r="U179" s="12">
        <v>1</v>
      </c>
      <c r="V179" s="12">
        <v>0</v>
      </c>
      <c r="W179" s="12">
        <v>0</v>
      </c>
      <c r="X179" s="12">
        <v>0.82350000000000001</v>
      </c>
      <c r="Y179" s="12">
        <v>0.17649999999999999</v>
      </c>
      <c r="Z179" s="12">
        <v>0.76470000000000005</v>
      </c>
      <c r="AA179" s="12">
        <v>1</v>
      </c>
      <c r="AB179" s="12">
        <v>1</v>
      </c>
      <c r="AC179" s="12">
        <v>2</v>
      </c>
      <c r="AD179" s="12">
        <v>3</v>
      </c>
      <c r="AE179" s="12">
        <v>0.33329999999999999</v>
      </c>
      <c r="AF179" s="12">
        <v>8.3299999999999999E-2</v>
      </c>
      <c r="AG179" s="12">
        <v>57</v>
      </c>
    </row>
    <row r="180" spans="1:33" ht="15" x14ac:dyDescent="0.2">
      <c r="A180" s="12" t="s">
        <v>223</v>
      </c>
      <c r="B180" s="12" t="s">
        <v>138</v>
      </c>
      <c r="C180" s="12" t="s">
        <v>154</v>
      </c>
      <c r="D180" s="12" t="s">
        <v>140</v>
      </c>
      <c r="E180" s="12">
        <v>419</v>
      </c>
      <c r="F180" s="12">
        <v>34</v>
      </c>
      <c r="G180" s="12">
        <v>26</v>
      </c>
      <c r="H180" s="12">
        <v>7</v>
      </c>
      <c r="I180" s="12">
        <v>28</v>
      </c>
      <c r="J180" s="12">
        <v>0</v>
      </c>
      <c r="K180" s="12">
        <v>0</v>
      </c>
      <c r="L180" s="12">
        <v>0</v>
      </c>
      <c r="M180" s="12">
        <v>3</v>
      </c>
      <c r="N180" s="12">
        <v>3</v>
      </c>
      <c r="O180" s="12">
        <v>9</v>
      </c>
      <c r="P180" s="12">
        <v>5</v>
      </c>
      <c r="Q180" s="12">
        <v>4</v>
      </c>
      <c r="R180" s="12">
        <v>3.4</v>
      </c>
      <c r="S180" s="12">
        <v>0.16700000000000001</v>
      </c>
      <c r="T180" s="12">
        <v>20</v>
      </c>
      <c r="U180" s="12">
        <v>3</v>
      </c>
      <c r="V180" s="12">
        <v>204</v>
      </c>
      <c r="W180" s="12">
        <v>10</v>
      </c>
      <c r="X180" s="12">
        <v>0.76470000000000005</v>
      </c>
      <c r="Y180" s="12">
        <v>0.2059</v>
      </c>
      <c r="Z180" s="12">
        <v>0.82350000000000001</v>
      </c>
      <c r="AA180" s="12">
        <v>0</v>
      </c>
      <c r="AB180" s="12">
        <v>0</v>
      </c>
      <c r="AC180" s="12">
        <v>3</v>
      </c>
      <c r="AD180" s="12">
        <v>3</v>
      </c>
      <c r="AE180" s="12">
        <v>0.55559999999999998</v>
      </c>
      <c r="AF180" s="12">
        <v>0.15</v>
      </c>
      <c r="AG180" s="12">
        <v>35</v>
      </c>
    </row>
    <row r="181" spans="1:33" ht="15" x14ac:dyDescent="0.2">
      <c r="A181" s="13" t="s">
        <v>224</v>
      </c>
      <c r="B181" s="13" t="s">
        <v>30</v>
      </c>
      <c r="C181" s="13" t="s">
        <v>144</v>
      </c>
      <c r="D181" s="13" t="s">
        <v>39</v>
      </c>
      <c r="E181" s="13">
        <v>147</v>
      </c>
      <c r="F181" s="13">
        <v>25</v>
      </c>
      <c r="G181" s="13">
        <v>18</v>
      </c>
      <c r="H181" s="13">
        <v>6</v>
      </c>
      <c r="I181" s="13">
        <v>15</v>
      </c>
      <c r="J181" s="13">
        <v>0</v>
      </c>
      <c r="K181" s="13">
        <v>0</v>
      </c>
      <c r="L181" s="13">
        <v>0</v>
      </c>
      <c r="M181" s="13">
        <v>4</v>
      </c>
      <c r="N181" s="13">
        <v>3</v>
      </c>
      <c r="O181" s="13">
        <v>4</v>
      </c>
      <c r="P181" s="13">
        <v>0</v>
      </c>
      <c r="Q181" s="13">
        <v>4</v>
      </c>
      <c r="R181" s="13">
        <v>0</v>
      </c>
      <c r="S181" s="13">
        <v>0</v>
      </c>
      <c r="T181" s="13">
        <v>12</v>
      </c>
      <c r="U181" s="13">
        <v>3</v>
      </c>
      <c r="V181" s="13">
        <v>0</v>
      </c>
      <c r="W181" s="13">
        <v>0</v>
      </c>
      <c r="X181" s="13">
        <v>0.72</v>
      </c>
      <c r="Y181" s="13">
        <v>0.24</v>
      </c>
      <c r="Z181" s="13">
        <v>0.6</v>
      </c>
      <c r="AA181" s="13">
        <v>0</v>
      </c>
      <c r="AB181" s="13">
        <v>0</v>
      </c>
      <c r="AC181" s="13">
        <v>4</v>
      </c>
      <c r="AD181" s="13">
        <v>3</v>
      </c>
      <c r="AE181" s="13">
        <v>0</v>
      </c>
      <c r="AF181" s="13">
        <v>0.25</v>
      </c>
      <c r="AG181" s="13">
        <v>55</v>
      </c>
    </row>
    <row r="182" spans="1:33" ht="15" x14ac:dyDescent="0.25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5"/>
    </row>
    <row r="183" spans="1:33" ht="15" x14ac:dyDescent="0.25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5"/>
    </row>
    <row r="184" spans="1:33" ht="15" x14ac:dyDescent="0.25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8"/>
    </row>
    <row r="185" spans="1:33" ht="12.75" x14ac:dyDescent="0.2">
      <c r="R185" s="9"/>
      <c r="S185" s="9"/>
      <c r="X185" s="10"/>
      <c r="Y185" s="10"/>
      <c r="Z185" s="10"/>
      <c r="AE185" s="10"/>
      <c r="AF185" s="10"/>
    </row>
    <row r="186" spans="1:33" ht="12.75" x14ac:dyDescent="0.2">
      <c r="R186" s="9"/>
      <c r="S186" s="9"/>
      <c r="X186" s="10"/>
      <c r="Y186" s="10"/>
      <c r="Z186" s="10"/>
      <c r="AE186" s="10"/>
      <c r="AF186" s="10"/>
    </row>
    <row r="187" spans="1:33" ht="12.75" x14ac:dyDescent="0.2">
      <c r="R187" s="9"/>
      <c r="S187" s="9"/>
      <c r="X187" s="10"/>
      <c r="Y187" s="10"/>
      <c r="Z187" s="10"/>
      <c r="AE187" s="10"/>
      <c r="AF187" s="10"/>
    </row>
    <row r="188" spans="1:33" ht="12.75" x14ac:dyDescent="0.2">
      <c r="R188" s="9"/>
      <c r="S188" s="9"/>
      <c r="X188" s="10"/>
      <c r="Y188" s="10"/>
      <c r="Z188" s="10"/>
      <c r="AE188" s="10"/>
      <c r="AF188" s="10"/>
    </row>
    <row r="189" spans="1:33" ht="12.75" x14ac:dyDescent="0.2">
      <c r="R189" s="9"/>
      <c r="S189" s="9"/>
      <c r="X189" s="10"/>
      <c r="Y189" s="10"/>
      <c r="Z189" s="10"/>
      <c r="AE189" s="10"/>
      <c r="AF189" s="10"/>
    </row>
    <row r="190" spans="1:33" ht="12.75" x14ac:dyDescent="0.2">
      <c r="R190" s="9"/>
      <c r="S190" s="9"/>
      <c r="X190" s="10"/>
      <c r="Y190" s="10"/>
      <c r="Z190" s="10"/>
      <c r="AE190" s="10"/>
      <c r="AF190" s="10"/>
    </row>
    <row r="191" spans="1:33" ht="12.75" x14ac:dyDescent="0.2">
      <c r="R191" s="9"/>
      <c r="S191" s="9"/>
      <c r="X191" s="10"/>
      <c r="Y191" s="10"/>
      <c r="Z191" s="10"/>
      <c r="AE191" s="10"/>
      <c r="AF191" s="10"/>
    </row>
    <row r="192" spans="1:33" ht="12.75" x14ac:dyDescent="0.2">
      <c r="R192" s="9"/>
      <c r="S192" s="9"/>
      <c r="X192" s="10"/>
      <c r="Y192" s="10"/>
      <c r="Z192" s="10"/>
      <c r="AE192" s="10"/>
      <c r="AF192" s="10"/>
    </row>
    <row r="193" spans="18:32" ht="12.75" x14ac:dyDescent="0.2">
      <c r="R193" s="9"/>
      <c r="S193" s="9"/>
      <c r="X193" s="10"/>
      <c r="Y193" s="10"/>
      <c r="Z193" s="10"/>
      <c r="AE193" s="10"/>
      <c r="AF193" s="10"/>
    </row>
    <row r="194" spans="18:32" ht="12.75" x14ac:dyDescent="0.2">
      <c r="R194" s="9"/>
      <c r="S194" s="9"/>
      <c r="X194" s="10"/>
      <c r="Y194" s="10"/>
      <c r="Z194" s="10"/>
      <c r="AE194" s="10"/>
      <c r="AF194" s="10"/>
    </row>
    <row r="195" spans="18:32" ht="12.75" x14ac:dyDescent="0.2">
      <c r="R195" s="9"/>
      <c r="S195" s="9"/>
      <c r="X195" s="10"/>
      <c r="Y195" s="10"/>
      <c r="Z195" s="10"/>
      <c r="AE195" s="10"/>
      <c r="AF195" s="10"/>
    </row>
    <row r="196" spans="18:32" ht="12.75" x14ac:dyDescent="0.2">
      <c r="R196" s="9"/>
      <c r="S196" s="9"/>
      <c r="X196" s="10"/>
      <c r="Y196" s="10"/>
      <c r="Z196" s="10"/>
      <c r="AE196" s="10"/>
      <c r="AF196" s="10"/>
    </row>
    <row r="197" spans="18:32" ht="12.75" x14ac:dyDescent="0.2">
      <c r="R197" s="9"/>
      <c r="S197" s="9"/>
      <c r="X197" s="10"/>
      <c r="Y197" s="10"/>
      <c r="Z197" s="10"/>
      <c r="AE197" s="10"/>
      <c r="AF197" s="10"/>
    </row>
    <row r="198" spans="18:32" ht="12.75" x14ac:dyDescent="0.2">
      <c r="R198" s="9"/>
      <c r="S198" s="9"/>
      <c r="X198" s="10"/>
      <c r="Y198" s="10"/>
      <c r="Z198" s="10"/>
      <c r="AE198" s="10"/>
      <c r="AF198" s="10"/>
    </row>
    <row r="199" spans="18:32" ht="12.75" x14ac:dyDescent="0.2">
      <c r="R199" s="9"/>
      <c r="S199" s="9"/>
      <c r="X199" s="10"/>
      <c r="Y199" s="10"/>
      <c r="Z199" s="10"/>
      <c r="AE199" s="10"/>
      <c r="AF199" s="10"/>
    </row>
    <row r="200" spans="18:32" ht="12.75" x14ac:dyDescent="0.2">
      <c r="R200" s="9"/>
      <c r="S200" s="9"/>
      <c r="X200" s="10"/>
      <c r="Y200" s="10"/>
      <c r="Z200" s="10"/>
      <c r="AE200" s="10"/>
      <c r="AF200" s="10"/>
    </row>
    <row r="201" spans="18:32" ht="12.75" x14ac:dyDescent="0.2">
      <c r="R201" s="9"/>
      <c r="S201" s="9"/>
      <c r="X201" s="10"/>
      <c r="Y201" s="10"/>
      <c r="Z201" s="10"/>
      <c r="AE201" s="10"/>
      <c r="AF201" s="10"/>
    </row>
    <row r="202" spans="18:32" ht="12.75" x14ac:dyDescent="0.2">
      <c r="R202" s="9"/>
      <c r="S202" s="9"/>
      <c r="X202" s="10"/>
      <c r="Y202" s="10"/>
      <c r="Z202" s="10"/>
      <c r="AE202" s="10"/>
      <c r="AF202" s="10"/>
    </row>
    <row r="203" spans="18:32" ht="12.75" x14ac:dyDescent="0.2">
      <c r="R203" s="9"/>
      <c r="S203" s="9"/>
      <c r="X203" s="10"/>
      <c r="Y203" s="10"/>
      <c r="Z203" s="10"/>
      <c r="AE203" s="10"/>
      <c r="AF203" s="10"/>
    </row>
    <row r="204" spans="18:32" ht="12.75" x14ac:dyDescent="0.2">
      <c r="R204" s="9"/>
      <c r="S204" s="9"/>
      <c r="X204" s="10"/>
      <c r="Y204" s="10"/>
      <c r="Z204" s="10"/>
      <c r="AE204" s="10"/>
      <c r="AF204" s="10"/>
    </row>
    <row r="205" spans="18:32" ht="12.75" x14ac:dyDescent="0.2">
      <c r="R205" s="9"/>
      <c r="S205" s="9"/>
      <c r="X205" s="10"/>
      <c r="Y205" s="10"/>
      <c r="Z205" s="10"/>
      <c r="AE205" s="10"/>
      <c r="AF205" s="10"/>
    </row>
    <row r="206" spans="18:32" ht="12.75" x14ac:dyDescent="0.2">
      <c r="R206" s="9"/>
      <c r="S206" s="9"/>
      <c r="X206" s="10"/>
      <c r="Y206" s="10"/>
      <c r="Z206" s="10"/>
      <c r="AE206" s="10"/>
      <c r="AF206" s="10"/>
    </row>
    <row r="207" spans="18:32" ht="12.75" x14ac:dyDescent="0.2">
      <c r="R207" s="9"/>
      <c r="S207" s="9"/>
      <c r="X207" s="10"/>
      <c r="Y207" s="10"/>
      <c r="Z207" s="10"/>
      <c r="AE207" s="10"/>
      <c r="AF207" s="10"/>
    </row>
    <row r="208" spans="18:32" ht="12.75" x14ac:dyDescent="0.2">
      <c r="R208" s="9"/>
      <c r="S208" s="9"/>
      <c r="X208" s="10"/>
      <c r="Y208" s="10"/>
      <c r="Z208" s="10"/>
      <c r="AE208" s="10"/>
      <c r="AF208" s="10"/>
    </row>
    <row r="209" spans="18:32" ht="12.75" x14ac:dyDescent="0.2">
      <c r="R209" s="9"/>
      <c r="S209" s="9"/>
      <c r="X209" s="10"/>
      <c r="Y209" s="10"/>
      <c r="Z209" s="10"/>
      <c r="AE209" s="10"/>
      <c r="AF209" s="10"/>
    </row>
    <row r="210" spans="18:32" ht="12.75" x14ac:dyDescent="0.2">
      <c r="R210" s="9"/>
      <c r="S210" s="9"/>
      <c r="X210" s="10"/>
      <c r="Y210" s="10"/>
      <c r="Z210" s="10"/>
      <c r="AE210" s="10"/>
      <c r="AF210" s="10"/>
    </row>
    <row r="211" spans="18:32" ht="12.75" x14ac:dyDescent="0.2">
      <c r="R211" s="9"/>
      <c r="S211" s="9"/>
      <c r="X211" s="10"/>
      <c r="Y211" s="10"/>
      <c r="Z211" s="10"/>
      <c r="AE211" s="10"/>
      <c r="AF211" s="10"/>
    </row>
    <row r="212" spans="18:32" ht="12.75" x14ac:dyDescent="0.2">
      <c r="R212" s="9"/>
      <c r="S212" s="9"/>
      <c r="X212" s="10"/>
      <c r="Y212" s="10"/>
      <c r="Z212" s="10"/>
      <c r="AE212" s="10"/>
      <c r="AF212" s="10"/>
    </row>
    <row r="213" spans="18:32" ht="12.75" x14ac:dyDescent="0.2">
      <c r="R213" s="9"/>
      <c r="S213" s="9"/>
      <c r="X213" s="10"/>
      <c r="Y213" s="10"/>
      <c r="Z213" s="10"/>
      <c r="AE213" s="10"/>
      <c r="AF213" s="10"/>
    </row>
    <row r="214" spans="18:32" ht="12.75" x14ac:dyDescent="0.2">
      <c r="R214" s="9"/>
      <c r="S214" s="9"/>
      <c r="X214" s="10"/>
      <c r="Y214" s="10"/>
      <c r="Z214" s="10"/>
      <c r="AE214" s="10"/>
      <c r="AF214" s="10"/>
    </row>
    <row r="215" spans="18:32" ht="12.75" x14ac:dyDescent="0.2">
      <c r="R215" s="9"/>
      <c r="S215" s="9"/>
      <c r="X215" s="10"/>
      <c r="Y215" s="10"/>
      <c r="Z215" s="10"/>
      <c r="AE215" s="10"/>
      <c r="AF215" s="10"/>
    </row>
    <row r="216" spans="18:32" ht="12.75" x14ac:dyDescent="0.2">
      <c r="R216" s="9"/>
      <c r="S216" s="9"/>
      <c r="X216" s="10"/>
      <c r="Y216" s="10"/>
      <c r="Z216" s="10"/>
      <c r="AE216" s="10"/>
      <c r="AF216" s="10"/>
    </row>
    <row r="217" spans="18:32" ht="12.75" x14ac:dyDescent="0.2">
      <c r="R217" s="9"/>
      <c r="S217" s="9"/>
      <c r="X217" s="10"/>
      <c r="Y217" s="10"/>
      <c r="Z217" s="10"/>
      <c r="AE217" s="10"/>
      <c r="AF217" s="10"/>
    </row>
    <row r="218" spans="18:32" ht="12.75" x14ac:dyDescent="0.2">
      <c r="R218" s="9"/>
      <c r="S218" s="9"/>
      <c r="X218" s="10"/>
      <c r="Y218" s="10"/>
      <c r="Z218" s="10"/>
      <c r="AE218" s="10"/>
      <c r="AF218" s="10"/>
    </row>
    <row r="219" spans="18:32" ht="12.75" x14ac:dyDescent="0.2">
      <c r="R219" s="9"/>
      <c r="S219" s="9"/>
      <c r="X219" s="10"/>
      <c r="Y219" s="10"/>
      <c r="Z219" s="10"/>
      <c r="AE219" s="10"/>
      <c r="AF219" s="10"/>
    </row>
    <row r="220" spans="18:32" ht="12.75" x14ac:dyDescent="0.2">
      <c r="R220" s="9"/>
      <c r="S220" s="9"/>
      <c r="X220" s="10"/>
      <c r="Y220" s="10"/>
      <c r="Z220" s="10"/>
      <c r="AE220" s="10"/>
      <c r="AF220" s="10"/>
    </row>
    <row r="221" spans="18:32" ht="12.75" x14ac:dyDescent="0.2">
      <c r="R221" s="9"/>
      <c r="S221" s="9"/>
      <c r="X221" s="10"/>
      <c r="Y221" s="10"/>
      <c r="Z221" s="10"/>
      <c r="AE221" s="10"/>
      <c r="AF221" s="10"/>
    </row>
    <row r="222" spans="18:32" ht="12.75" x14ac:dyDescent="0.2">
      <c r="R222" s="9"/>
      <c r="S222" s="9"/>
      <c r="X222" s="10"/>
      <c r="Y222" s="10"/>
      <c r="Z222" s="10"/>
      <c r="AE222" s="10"/>
      <c r="AF222" s="10"/>
    </row>
    <row r="223" spans="18:32" ht="12.75" x14ac:dyDescent="0.2">
      <c r="R223" s="9"/>
      <c r="S223" s="9"/>
      <c r="X223" s="10"/>
      <c r="Y223" s="10"/>
      <c r="Z223" s="10"/>
      <c r="AE223" s="10"/>
      <c r="AF223" s="10"/>
    </row>
    <row r="224" spans="18:32" ht="12.75" x14ac:dyDescent="0.2">
      <c r="R224" s="9"/>
      <c r="S224" s="9"/>
      <c r="X224" s="10"/>
      <c r="Y224" s="10"/>
      <c r="Z224" s="10"/>
      <c r="AE224" s="10"/>
      <c r="AF224" s="10"/>
    </row>
    <row r="225" spans="18:32" ht="12.75" x14ac:dyDescent="0.2">
      <c r="R225" s="9"/>
      <c r="S225" s="9"/>
      <c r="X225" s="10"/>
      <c r="Y225" s="10"/>
      <c r="Z225" s="10"/>
      <c r="AE225" s="10"/>
      <c r="AF225" s="10"/>
    </row>
    <row r="226" spans="18:32" ht="12.75" x14ac:dyDescent="0.2">
      <c r="R226" s="9"/>
      <c r="S226" s="9"/>
      <c r="X226" s="10"/>
      <c r="Y226" s="10"/>
      <c r="Z226" s="10"/>
      <c r="AE226" s="10"/>
      <c r="AF226" s="10"/>
    </row>
    <row r="227" spans="18:32" ht="12.75" x14ac:dyDescent="0.2">
      <c r="R227" s="9"/>
      <c r="S227" s="9"/>
      <c r="X227" s="10"/>
      <c r="Y227" s="10"/>
      <c r="Z227" s="10"/>
      <c r="AE227" s="10"/>
      <c r="AF227" s="10"/>
    </row>
    <row r="228" spans="18:32" ht="12.75" x14ac:dyDescent="0.2">
      <c r="R228" s="9"/>
      <c r="S228" s="9"/>
      <c r="X228" s="10"/>
      <c r="Y228" s="10"/>
      <c r="Z228" s="10"/>
      <c r="AE228" s="10"/>
      <c r="AF228" s="10"/>
    </row>
    <row r="229" spans="18:32" ht="12.75" x14ac:dyDescent="0.2">
      <c r="R229" s="9"/>
      <c r="S229" s="9"/>
      <c r="X229" s="10"/>
      <c r="Y229" s="10"/>
      <c r="Z229" s="10"/>
      <c r="AE229" s="10"/>
      <c r="AF229" s="10"/>
    </row>
    <row r="230" spans="18:32" ht="12.75" x14ac:dyDescent="0.2">
      <c r="R230" s="9"/>
      <c r="S230" s="9"/>
      <c r="X230" s="10"/>
      <c r="Y230" s="10"/>
      <c r="Z230" s="10"/>
      <c r="AE230" s="10"/>
      <c r="AF230" s="10"/>
    </row>
    <row r="231" spans="18:32" ht="12.75" x14ac:dyDescent="0.2">
      <c r="R231" s="9"/>
      <c r="S231" s="9"/>
      <c r="X231" s="10"/>
      <c r="Y231" s="10"/>
      <c r="Z231" s="10"/>
      <c r="AE231" s="10"/>
      <c r="AF231" s="10"/>
    </row>
    <row r="232" spans="18:32" ht="12.75" x14ac:dyDescent="0.2">
      <c r="R232" s="9"/>
      <c r="S232" s="9"/>
      <c r="X232" s="10"/>
      <c r="Y232" s="10"/>
      <c r="Z232" s="10"/>
      <c r="AE232" s="10"/>
      <c r="AF232" s="10"/>
    </row>
    <row r="233" spans="18:32" ht="12.75" x14ac:dyDescent="0.2">
      <c r="R233" s="9"/>
      <c r="S233" s="9"/>
      <c r="X233" s="10"/>
      <c r="Y233" s="10"/>
      <c r="Z233" s="10"/>
      <c r="AE233" s="10"/>
      <c r="AF233" s="10"/>
    </row>
    <row r="234" spans="18:32" ht="12.75" x14ac:dyDescent="0.2">
      <c r="R234" s="9"/>
      <c r="S234" s="9"/>
      <c r="X234" s="10"/>
      <c r="Y234" s="10"/>
      <c r="Z234" s="10"/>
      <c r="AE234" s="10"/>
      <c r="AF234" s="10"/>
    </row>
    <row r="235" spans="18:32" ht="12.75" x14ac:dyDescent="0.2">
      <c r="R235" s="9"/>
      <c r="S235" s="9"/>
      <c r="X235" s="10"/>
      <c r="Y235" s="10"/>
      <c r="Z235" s="10"/>
      <c r="AE235" s="10"/>
      <c r="AF235" s="10"/>
    </row>
    <row r="236" spans="18:32" ht="12.75" x14ac:dyDescent="0.2">
      <c r="R236" s="9"/>
      <c r="S236" s="9"/>
      <c r="X236" s="10"/>
      <c r="Y236" s="10"/>
      <c r="Z236" s="10"/>
      <c r="AE236" s="10"/>
      <c r="AF236" s="10"/>
    </row>
    <row r="237" spans="18:32" ht="12.75" x14ac:dyDescent="0.2">
      <c r="R237" s="9"/>
      <c r="S237" s="9"/>
      <c r="X237" s="10"/>
      <c r="Y237" s="10"/>
      <c r="Z237" s="10"/>
      <c r="AE237" s="10"/>
      <c r="AF237" s="10"/>
    </row>
    <row r="238" spans="18:32" ht="12.75" x14ac:dyDescent="0.2">
      <c r="R238" s="9"/>
      <c r="S238" s="9"/>
      <c r="X238" s="10"/>
      <c r="Y238" s="10"/>
      <c r="Z238" s="10"/>
      <c r="AE238" s="10"/>
      <c r="AF238" s="10"/>
    </row>
    <row r="239" spans="18:32" ht="12.75" x14ac:dyDescent="0.2">
      <c r="R239" s="9"/>
      <c r="S239" s="9"/>
      <c r="X239" s="10"/>
      <c r="Y239" s="10"/>
      <c r="Z239" s="10"/>
      <c r="AE239" s="10"/>
      <c r="AF239" s="10"/>
    </row>
    <row r="240" spans="18:32" ht="12.75" x14ac:dyDescent="0.2">
      <c r="R240" s="9"/>
      <c r="S240" s="9"/>
      <c r="X240" s="10"/>
      <c r="Y240" s="10"/>
      <c r="Z240" s="10"/>
      <c r="AE240" s="10"/>
      <c r="AF240" s="10"/>
    </row>
    <row r="241" spans="18:32" ht="12.75" x14ac:dyDescent="0.2">
      <c r="R241" s="9"/>
      <c r="S241" s="9"/>
      <c r="X241" s="10"/>
      <c r="Y241" s="10"/>
      <c r="Z241" s="10"/>
      <c r="AE241" s="10"/>
      <c r="AF241" s="10"/>
    </row>
    <row r="242" spans="18:32" ht="12.75" x14ac:dyDescent="0.2">
      <c r="R242" s="9"/>
      <c r="S242" s="9"/>
      <c r="X242" s="10"/>
      <c r="Y242" s="10"/>
      <c r="Z242" s="10"/>
      <c r="AE242" s="10"/>
      <c r="AF242" s="10"/>
    </row>
    <row r="243" spans="18:32" ht="12.75" x14ac:dyDescent="0.2">
      <c r="R243" s="9"/>
      <c r="S243" s="9"/>
      <c r="X243" s="10"/>
      <c r="Y243" s="10"/>
      <c r="Z243" s="10"/>
      <c r="AE243" s="10"/>
      <c r="AF243" s="10"/>
    </row>
    <row r="244" spans="18:32" ht="12.75" x14ac:dyDescent="0.2">
      <c r="R244" s="9"/>
      <c r="S244" s="9"/>
      <c r="X244" s="10"/>
      <c r="Y244" s="10"/>
      <c r="Z244" s="10"/>
      <c r="AE244" s="10"/>
      <c r="AF244" s="10"/>
    </row>
    <row r="245" spans="18:32" ht="12.75" x14ac:dyDescent="0.2">
      <c r="R245" s="9"/>
      <c r="S245" s="9"/>
      <c r="X245" s="10"/>
      <c r="Y245" s="10"/>
      <c r="Z245" s="10"/>
      <c r="AE245" s="10"/>
      <c r="AF245" s="10"/>
    </row>
    <row r="246" spans="18:32" ht="12.75" x14ac:dyDescent="0.2">
      <c r="R246" s="9"/>
      <c r="S246" s="9"/>
      <c r="X246" s="10"/>
      <c r="Y246" s="10"/>
      <c r="Z246" s="10"/>
      <c r="AE246" s="10"/>
      <c r="AF246" s="10"/>
    </row>
    <row r="247" spans="18:32" ht="12.75" x14ac:dyDescent="0.2">
      <c r="R247" s="9"/>
      <c r="S247" s="9"/>
      <c r="X247" s="10"/>
      <c r="Y247" s="10"/>
      <c r="Z247" s="10"/>
      <c r="AE247" s="10"/>
      <c r="AF247" s="10"/>
    </row>
    <row r="248" spans="18:32" ht="12.75" x14ac:dyDescent="0.2">
      <c r="R248" s="9"/>
      <c r="S248" s="9"/>
      <c r="X248" s="10"/>
      <c r="Y248" s="10"/>
      <c r="Z248" s="10"/>
      <c r="AE248" s="10"/>
      <c r="AF248" s="10"/>
    </row>
    <row r="249" spans="18:32" ht="12.75" x14ac:dyDescent="0.2">
      <c r="R249" s="9"/>
      <c r="S249" s="9"/>
      <c r="X249" s="10"/>
      <c r="Y249" s="10"/>
      <c r="Z249" s="10"/>
      <c r="AE249" s="10"/>
      <c r="AF249" s="10"/>
    </row>
    <row r="250" spans="18:32" ht="12.75" x14ac:dyDescent="0.2">
      <c r="R250" s="9"/>
      <c r="S250" s="9"/>
      <c r="X250" s="10"/>
      <c r="Y250" s="10"/>
      <c r="Z250" s="10"/>
      <c r="AE250" s="10"/>
      <c r="AF250" s="10"/>
    </row>
    <row r="251" spans="18:32" ht="12.75" x14ac:dyDescent="0.2">
      <c r="R251" s="9"/>
      <c r="S251" s="9"/>
      <c r="X251" s="10"/>
      <c r="Y251" s="10"/>
      <c r="Z251" s="10"/>
      <c r="AE251" s="10"/>
      <c r="AF251" s="10"/>
    </row>
    <row r="252" spans="18:32" ht="12.75" x14ac:dyDescent="0.2">
      <c r="R252" s="9"/>
      <c r="S252" s="9"/>
      <c r="X252" s="10"/>
      <c r="Y252" s="10"/>
      <c r="Z252" s="10"/>
      <c r="AE252" s="10"/>
      <c r="AF252" s="10"/>
    </row>
    <row r="253" spans="18:32" ht="12.75" x14ac:dyDescent="0.2">
      <c r="R253" s="9"/>
      <c r="S253" s="9"/>
      <c r="X253" s="10"/>
      <c r="Y253" s="10"/>
      <c r="Z253" s="10"/>
      <c r="AE253" s="10"/>
      <c r="AF253" s="10"/>
    </row>
    <row r="254" spans="18:32" ht="12.75" x14ac:dyDescent="0.2">
      <c r="R254" s="9"/>
      <c r="S254" s="9"/>
      <c r="X254" s="10"/>
      <c r="Y254" s="10"/>
      <c r="Z254" s="10"/>
      <c r="AE254" s="10"/>
      <c r="AF254" s="10"/>
    </row>
    <row r="255" spans="18:32" ht="12.75" x14ac:dyDescent="0.2">
      <c r="R255" s="9"/>
      <c r="S255" s="9"/>
      <c r="X255" s="10"/>
      <c r="Y255" s="10"/>
      <c r="Z255" s="10"/>
      <c r="AE255" s="10"/>
      <c r="AF255" s="10"/>
    </row>
    <row r="256" spans="18:32" ht="12.75" x14ac:dyDescent="0.2">
      <c r="R256" s="9"/>
      <c r="S256" s="9"/>
      <c r="X256" s="10"/>
      <c r="Y256" s="10"/>
      <c r="Z256" s="10"/>
      <c r="AE256" s="10"/>
      <c r="AF256" s="10"/>
    </row>
    <row r="257" spans="18:32" ht="12.75" x14ac:dyDescent="0.2">
      <c r="R257" s="9"/>
      <c r="S257" s="9"/>
      <c r="X257" s="10"/>
      <c r="Y257" s="10"/>
      <c r="Z257" s="10"/>
      <c r="AE257" s="10"/>
      <c r="AF257" s="10"/>
    </row>
    <row r="258" spans="18:32" ht="12.75" x14ac:dyDescent="0.2">
      <c r="R258" s="9"/>
      <c r="S258" s="9"/>
      <c r="X258" s="10"/>
      <c r="Y258" s="10"/>
      <c r="Z258" s="10"/>
      <c r="AE258" s="10"/>
      <c r="AF258" s="10"/>
    </row>
    <row r="259" spans="18:32" ht="12.75" x14ac:dyDescent="0.2">
      <c r="R259" s="9"/>
      <c r="S259" s="9"/>
      <c r="X259" s="10"/>
      <c r="Y259" s="10"/>
      <c r="Z259" s="10"/>
      <c r="AE259" s="10"/>
      <c r="AF259" s="10"/>
    </row>
    <row r="260" spans="18:32" ht="12.75" x14ac:dyDescent="0.2">
      <c r="R260" s="9"/>
      <c r="S260" s="9"/>
      <c r="X260" s="10"/>
      <c r="Y260" s="10"/>
      <c r="Z260" s="10"/>
      <c r="AE260" s="10"/>
      <c r="AF260" s="10"/>
    </row>
    <row r="261" spans="18:32" ht="12.75" x14ac:dyDescent="0.2">
      <c r="R261" s="9"/>
      <c r="S261" s="9"/>
      <c r="X261" s="10"/>
      <c r="Y261" s="10"/>
      <c r="Z261" s="10"/>
      <c r="AE261" s="10"/>
      <c r="AF261" s="10"/>
    </row>
    <row r="262" spans="18:32" ht="12.75" x14ac:dyDescent="0.2">
      <c r="R262" s="9"/>
      <c r="S262" s="9"/>
      <c r="X262" s="10"/>
      <c r="Y262" s="10"/>
      <c r="Z262" s="10"/>
      <c r="AE262" s="10"/>
      <c r="AF262" s="10"/>
    </row>
    <row r="263" spans="18:32" ht="12.75" x14ac:dyDescent="0.2">
      <c r="R263" s="9"/>
      <c r="S263" s="9"/>
      <c r="X263" s="10"/>
      <c r="Y263" s="10"/>
      <c r="Z263" s="10"/>
      <c r="AE263" s="10"/>
      <c r="AF263" s="10"/>
    </row>
    <row r="264" spans="18:32" ht="12.75" x14ac:dyDescent="0.2">
      <c r="R264" s="9"/>
      <c r="S264" s="9"/>
      <c r="X264" s="10"/>
      <c r="Y264" s="10"/>
      <c r="Z264" s="10"/>
      <c r="AE264" s="10"/>
      <c r="AF264" s="10"/>
    </row>
    <row r="265" spans="18:32" ht="12.75" x14ac:dyDescent="0.2">
      <c r="R265" s="9"/>
      <c r="S265" s="9"/>
      <c r="X265" s="10"/>
      <c r="Y265" s="10"/>
      <c r="Z265" s="10"/>
      <c r="AE265" s="10"/>
      <c r="AF265" s="10"/>
    </row>
    <row r="266" spans="18:32" ht="12.75" x14ac:dyDescent="0.2">
      <c r="R266" s="9"/>
      <c r="S266" s="9"/>
      <c r="X266" s="10"/>
      <c r="Y266" s="10"/>
      <c r="Z266" s="10"/>
      <c r="AE266" s="10"/>
      <c r="AF266" s="10"/>
    </row>
    <row r="267" spans="18:32" ht="12.75" x14ac:dyDescent="0.2">
      <c r="R267" s="9"/>
      <c r="S267" s="9"/>
      <c r="X267" s="10"/>
      <c r="Y267" s="10"/>
      <c r="Z267" s="10"/>
      <c r="AE267" s="10"/>
      <c r="AF267" s="10"/>
    </row>
    <row r="268" spans="18:32" ht="12.75" x14ac:dyDescent="0.2">
      <c r="R268" s="9"/>
      <c r="S268" s="9"/>
      <c r="X268" s="10"/>
      <c r="Y268" s="10"/>
      <c r="Z268" s="10"/>
      <c r="AE268" s="10"/>
      <c r="AF268" s="10"/>
    </row>
    <row r="269" spans="18:32" ht="12.75" x14ac:dyDescent="0.2">
      <c r="R269" s="9"/>
      <c r="S269" s="9"/>
      <c r="X269" s="10"/>
      <c r="Y269" s="10"/>
      <c r="Z269" s="10"/>
      <c r="AE269" s="10"/>
      <c r="AF269" s="10"/>
    </row>
    <row r="270" spans="18:32" ht="12.75" x14ac:dyDescent="0.2">
      <c r="R270" s="9"/>
      <c r="S270" s="9"/>
      <c r="X270" s="10"/>
      <c r="Y270" s="10"/>
      <c r="Z270" s="10"/>
      <c r="AE270" s="10"/>
      <c r="AF270" s="10"/>
    </row>
    <row r="271" spans="18:32" ht="12.75" x14ac:dyDescent="0.2">
      <c r="R271" s="9"/>
      <c r="S271" s="9"/>
      <c r="X271" s="10"/>
      <c r="Y271" s="10"/>
      <c r="Z271" s="10"/>
      <c r="AE271" s="10"/>
      <c r="AF271" s="10"/>
    </row>
    <row r="272" spans="18:32" ht="12.75" x14ac:dyDescent="0.2">
      <c r="R272" s="9"/>
      <c r="S272" s="9"/>
      <c r="X272" s="10"/>
      <c r="Y272" s="10"/>
      <c r="Z272" s="10"/>
      <c r="AE272" s="10"/>
      <c r="AF272" s="10"/>
    </row>
    <row r="273" spans="18:32" ht="12.75" x14ac:dyDescent="0.2">
      <c r="R273" s="9"/>
      <c r="S273" s="9"/>
      <c r="X273" s="10"/>
      <c r="Y273" s="10"/>
      <c r="Z273" s="10"/>
      <c r="AE273" s="10"/>
      <c r="AF273" s="10"/>
    </row>
    <row r="274" spans="18:32" ht="12.75" x14ac:dyDescent="0.2">
      <c r="R274" s="9"/>
      <c r="S274" s="9"/>
      <c r="X274" s="10"/>
      <c r="Y274" s="10"/>
      <c r="Z274" s="10"/>
      <c r="AE274" s="10"/>
      <c r="AF274" s="10"/>
    </row>
    <row r="275" spans="18:32" ht="12.75" x14ac:dyDescent="0.2">
      <c r="R275" s="9"/>
      <c r="S275" s="9"/>
      <c r="X275" s="10"/>
      <c r="Y275" s="10"/>
      <c r="Z275" s="10"/>
      <c r="AE275" s="10"/>
      <c r="AF275" s="10"/>
    </row>
    <row r="276" spans="18:32" ht="12.75" x14ac:dyDescent="0.2">
      <c r="R276" s="9"/>
      <c r="S276" s="9"/>
      <c r="X276" s="10"/>
      <c r="Y276" s="10"/>
      <c r="Z276" s="10"/>
      <c r="AE276" s="10"/>
      <c r="AF276" s="10"/>
    </row>
    <row r="277" spans="18:32" ht="12.75" x14ac:dyDescent="0.2">
      <c r="R277" s="9"/>
      <c r="S277" s="9"/>
      <c r="X277" s="10"/>
      <c r="Y277" s="10"/>
      <c r="Z277" s="10"/>
      <c r="AE277" s="10"/>
      <c r="AF277" s="10"/>
    </row>
    <row r="278" spans="18:32" ht="12.75" x14ac:dyDescent="0.2">
      <c r="R278" s="9"/>
      <c r="S278" s="9"/>
      <c r="X278" s="10"/>
      <c r="Y278" s="10"/>
      <c r="Z278" s="10"/>
      <c r="AE278" s="10"/>
      <c r="AF278" s="10"/>
    </row>
    <row r="279" spans="18:32" ht="12.75" x14ac:dyDescent="0.2">
      <c r="R279" s="9"/>
      <c r="S279" s="9"/>
      <c r="X279" s="10"/>
      <c r="Y279" s="10"/>
      <c r="Z279" s="10"/>
      <c r="AE279" s="10"/>
      <c r="AF279" s="10"/>
    </row>
    <row r="280" spans="18:32" ht="12.75" x14ac:dyDescent="0.2">
      <c r="R280" s="9"/>
      <c r="S280" s="9"/>
      <c r="X280" s="10"/>
      <c r="Y280" s="10"/>
      <c r="Z280" s="10"/>
      <c r="AE280" s="10"/>
      <c r="AF280" s="10"/>
    </row>
    <row r="281" spans="18:32" ht="12.75" x14ac:dyDescent="0.2">
      <c r="R281" s="9"/>
      <c r="S281" s="9"/>
      <c r="X281" s="10"/>
      <c r="Y281" s="10"/>
      <c r="Z281" s="10"/>
      <c r="AE281" s="10"/>
      <c r="AF281" s="10"/>
    </row>
    <row r="282" spans="18:32" ht="12.75" x14ac:dyDescent="0.2">
      <c r="R282" s="9"/>
      <c r="S282" s="9"/>
      <c r="X282" s="10"/>
      <c r="Y282" s="10"/>
      <c r="Z282" s="10"/>
      <c r="AE282" s="10"/>
      <c r="AF282" s="10"/>
    </row>
    <row r="283" spans="18:32" ht="12.75" x14ac:dyDescent="0.2">
      <c r="R283" s="9"/>
      <c r="S283" s="9"/>
      <c r="X283" s="10"/>
      <c r="Y283" s="10"/>
      <c r="Z283" s="10"/>
      <c r="AE283" s="10"/>
      <c r="AF283" s="10"/>
    </row>
    <row r="284" spans="18:32" ht="12.75" x14ac:dyDescent="0.2">
      <c r="R284" s="9"/>
      <c r="S284" s="9"/>
      <c r="X284" s="10"/>
      <c r="Y284" s="10"/>
      <c r="Z284" s="10"/>
      <c r="AE284" s="10"/>
      <c r="AF284" s="10"/>
    </row>
    <row r="285" spans="18:32" ht="12.75" x14ac:dyDescent="0.2">
      <c r="R285" s="9"/>
      <c r="S285" s="9"/>
      <c r="X285" s="10"/>
      <c r="Y285" s="10"/>
      <c r="Z285" s="10"/>
      <c r="AE285" s="10"/>
      <c r="AF285" s="10"/>
    </row>
    <row r="286" spans="18:32" ht="12.75" x14ac:dyDescent="0.2">
      <c r="R286" s="9"/>
      <c r="S286" s="9"/>
      <c r="X286" s="10"/>
      <c r="Y286" s="10"/>
      <c r="Z286" s="10"/>
      <c r="AE286" s="10"/>
      <c r="AF286" s="10"/>
    </row>
    <row r="287" spans="18:32" ht="12.75" x14ac:dyDescent="0.2">
      <c r="R287" s="9"/>
      <c r="S287" s="9"/>
      <c r="X287" s="10"/>
      <c r="Y287" s="10"/>
      <c r="Z287" s="10"/>
      <c r="AE287" s="10"/>
      <c r="AF287" s="10"/>
    </row>
    <row r="288" spans="18:32" ht="12.75" x14ac:dyDescent="0.2">
      <c r="R288" s="9"/>
      <c r="S288" s="9"/>
      <c r="X288" s="10"/>
      <c r="Y288" s="10"/>
      <c r="Z288" s="10"/>
      <c r="AE288" s="10"/>
      <c r="AF288" s="10"/>
    </row>
    <row r="289" spans="18:32" ht="12.75" x14ac:dyDescent="0.2">
      <c r="R289" s="9"/>
      <c r="S289" s="9"/>
      <c r="X289" s="10"/>
      <c r="Y289" s="10"/>
      <c r="Z289" s="10"/>
      <c r="AE289" s="10"/>
      <c r="AF289" s="10"/>
    </row>
    <row r="290" spans="18:32" ht="12.75" x14ac:dyDescent="0.2">
      <c r="R290" s="9"/>
      <c r="S290" s="9"/>
      <c r="X290" s="10"/>
      <c r="Y290" s="10"/>
      <c r="Z290" s="10"/>
      <c r="AE290" s="10"/>
      <c r="AF290" s="10"/>
    </row>
    <row r="291" spans="18:32" ht="12.75" x14ac:dyDescent="0.2">
      <c r="R291" s="9"/>
      <c r="S291" s="9"/>
      <c r="X291" s="10"/>
      <c r="Y291" s="10"/>
      <c r="Z291" s="10"/>
      <c r="AE291" s="10"/>
      <c r="AF291" s="10"/>
    </row>
    <row r="292" spans="18:32" ht="12.75" x14ac:dyDescent="0.2">
      <c r="R292" s="9"/>
      <c r="S292" s="9"/>
      <c r="X292" s="10"/>
      <c r="Y292" s="10"/>
      <c r="Z292" s="10"/>
      <c r="AE292" s="10"/>
      <c r="AF292" s="10"/>
    </row>
    <row r="293" spans="18:32" ht="12.75" x14ac:dyDescent="0.2">
      <c r="R293" s="9"/>
      <c r="S293" s="9"/>
      <c r="X293" s="10"/>
      <c r="Y293" s="10"/>
      <c r="Z293" s="10"/>
      <c r="AE293" s="10"/>
      <c r="AF293" s="10"/>
    </row>
    <row r="294" spans="18:32" ht="12.75" x14ac:dyDescent="0.2">
      <c r="R294" s="9"/>
      <c r="S294" s="9"/>
      <c r="X294" s="10"/>
      <c r="Y294" s="10"/>
      <c r="Z294" s="10"/>
      <c r="AE294" s="10"/>
      <c r="AF294" s="10"/>
    </row>
    <row r="295" spans="18:32" ht="12.75" x14ac:dyDescent="0.2">
      <c r="R295" s="9"/>
      <c r="S295" s="9"/>
      <c r="X295" s="10"/>
      <c r="Y295" s="10"/>
      <c r="Z295" s="10"/>
      <c r="AE295" s="10"/>
      <c r="AF295" s="10"/>
    </row>
    <row r="296" spans="18:32" ht="12.75" x14ac:dyDescent="0.2">
      <c r="R296" s="9"/>
      <c r="S296" s="9"/>
      <c r="X296" s="10"/>
      <c r="Y296" s="10"/>
      <c r="Z296" s="10"/>
      <c r="AE296" s="10"/>
      <c r="AF296" s="10"/>
    </row>
    <row r="297" spans="18:32" ht="12.75" x14ac:dyDescent="0.2">
      <c r="R297" s="9"/>
      <c r="S297" s="9"/>
      <c r="X297" s="10"/>
      <c r="Y297" s="10"/>
      <c r="Z297" s="10"/>
      <c r="AE297" s="10"/>
      <c r="AF297" s="10"/>
    </row>
    <row r="298" spans="18:32" ht="12.75" x14ac:dyDescent="0.2">
      <c r="R298" s="9"/>
      <c r="S298" s="9"/>
      <c r="X298" s="10"/>
      <c r="Y298" s="10"/>
      <c r="Z298" s="10"/>
      <c r="AE298" s="10"/>
      <c r="AF298" s="10"/>
    </row>
    <row r="299" spans="18:32" ht="12.75" x14ac:dyDescent="0.2">
      <c r="R299" s="9"/>
      <c r="S299" s="9"/>
      <c r="X299" s="10"/>
      <c r="Y299" s="10"/>
      <c r="Z299" s="10"/>
      <c r="AE299" s="10"/>
      <c r="AF299" s="10"/>
    </row>
    <row r="300" spans="18:32" ht="12.75" x14ac:dyDescent="0.2">
      <c r="R300" s="9"/>
      <c r="S300" s="9"/>
      <c r="X300" s="10"/>
      <c r="Y300" s="10"/>
      <c r="Z300" s="10"/>
      <c r="AE300" s="10"/>
      <c r="AF300" s="10"/>
    </row>
    <row r="301" spans="18:32" ht="12.75" x14ac:dyDescent="0.2">
      <c r="R301" s="9"/>
      <c r="S301" s="9"/>
      <c r="X301" s="10"/>
      <c r="Y301" s="10"/>
      <c r="Z301" s="10"/>
      <c r="AE301" s="10"/>
      <c r="AF301" s="10"/>
    </row>
    <row r="302" spans="18:32" ht="12.75" x14ac:dyDescent="0.2">
      <c r="R302" s="9"/>
      <c r="S302" s="9"/>
      <c r="X302" s="10"/>
      <c r="Y302" s="10"/>
      <c r="Z302" s="10"/>
      <c r="AE302" s="10"/>
      <c r="AF302" s="10"/>
    </row>
    <row r="303" spans="18:32" ht="12.75" x14ac:dyDescent="0.2">
      <c r="R303" s="9"/>
      <c r="S303" s="9"/>
      <c r="X303" s="10"/>
      <c r="Y303" s="10"/>
      <c r="Z303" s="10"/>
      <c r="AE303" s="10"/>
      <c r="AF303" s="10"/>
    </row>
    <row r="304" spans="18:32" ht="12.75" x14ac:dyDescent="0.2">
      <c r="R304" s="9"/>
      <c r="S304" s="9"/>
      <c r="X304" s="10"/>
      <c r="Y304" s="10"/>
      <c r="Z304" s="10"/>
      <c r="AE304" s="10"/>
      <c r="AF304" s="10"/>
    </row>
    <row r="305" spans="18:32" ht="12.75" x14ac:dyDescent="0.2">
      <c r="R305" s="9"/>
      <c r="S305" s="9"/>
      <c r="X305" s="10"/>
      <c r="Y305" s="10"/>
      <c r="Z305" s="10"/>
      <c r="AE305" s="10"/>
      <c r="AF305" s="10"/>
    </row>
    <row r="306" spans="18:32" ht="12.75" x14ac:dyDescent="0.2">
      <c r="R306" s="9"/>
      <c r="S306" s="9"/>
      <c r="X306" s="10"/>
      <c r="Y306" s="10"/>
      <c r="Z306" s="10"/>
      <c r="AE306" s="10"/>
      <c r="AF306" s="10"/>
    </row>
    <row r="307" spans="18:32" ht="12.75" x14ac:dyDescent="0.2">
      <c r="R307" s="9"/>
      <c r="S307" s="9"/>
      <c r="X307" s="10"/>
      <c r="Y307" s="10"/>
      <c r="Z307" s="10"/>
      <c r="AE307" s="10"/>
      <c r="AF307" s="10"/>
    </row>
    <row r="308" spans="18:32" ht="12.75" x14ac:dyDescent="0.2">
      <c r="R308" s="9"/>
      <c r="S308" s="9"/>
      <c r="X308" s="10"/>
      <c r="Y308" s="10"/>
      <c r="Z308" s="10"/>
      <c r="AE308" s="10"/>
      <c r="AF308" s="10"/>
    </row>
    <row r="309" spans="18:32" ht="12.75" x14ac:dyDescent="0.2">
      <c r="R309" s="9"/>
      <c r="S309" s="9"/>
      <c r="X309" s="10"/>
      <c r="Y309" s="10"/>
      <c r="Z309" s="10"/>
      <c r="AE309" s="10"/>
      <c r="AF309" s="10"/>
    </row>
    <row r="310" spans="18:32" ht="12.75" x14ac:dyDescent="0.2">
      <c r="R310" s="9"/>
      <c r="S310" s="9"/>
      <c r="X310" s="10"/>
      <c r="Y310" s="10"/>
      <c r="Z310" s="10"/>
      <c r="AE310" s="10"/>
      <c r="AF310" s="10"/>
    </row>
    <row r="311" spans="18:32" ht="12.75" x14ac:dyDescent="0.2">
      <c r="R311" s="9"/>
      <c r="S311" s="9"/>
      <c r="X311" s="10"/>
      <c r="Y311" s="10"/>
      <c r="Z311" s="10"/>
      <c r="AE311" s="10"/>
      <c r="AF311" s="10"/>
    </row>
    <row r="312" spans="18:32" ht="12.75" x14ac:dyDescent="0.2">
      <c r="R312" s="9"/>
      <c r="S312" s="9"/>
      <c r="X312" s="10"/>
      <c r="Y312" s="10"/>
      <c r="Z312" s="10"/>
      <c r="AE312" s="10"/>
      <c r="AF312" s="10"/>
    </row>
    <row r="313" spans="18:32" ht="12.75" x14ac:dyDescent="0.2">
      <c r="R313" s="9"/>
      <c r="S313" s="9"/>
      <c r="X313" s="10"/>
      <c r="Y313" s="10"/>
      <c r="Z313" s="10"/>
      <c r="AE313" s="10"/>
      <c r="AF313" s="10"/>
    </row>
    <row r="314" spans="18:32" ht="12.75" x14ac:dyDescent="0.2">
      <c r="R314" s="9"/>
      <c r="S314" s="9"/>
      <c r="X314" s="10"/>
      <c r="Y314" s="10"/>
      <c r="Z314" s="10"/>
      <c r="AE314" s="10"/>
      <c r="AF314" s="10"/>
    </row>
    <row r="315" spans="18:32" ht="12.75" x14ac:dyDescent="0.2">
      <c r="R315" s="9"/>
      <c r="S315" s="9"/>
      <c r="X315" s="10"/>
      <c r="Y315" s="10"/>
      <c r="Z315" s="10"/>
      <c r="AE315" s="10"/>
      <c r="AF315" s="10"/>
    </row>
    <row r="316" spans="18:32" ht="12.75" x14ac:dyDescent="0.2">
      <c r="R316" s="9"/>
      <c r="S316" s="9"/>
      <c r="X316" s="10"/>
      <c r="Y316" s="10"/>
      <c r="Z316" s="10"/>
      <c r="AE316" s="10"/>
      <c r="AF316" s="10"/>
    </row>
    <row r="317" spans="18:32" ht="12.75" x14ac:dyDescent="0.2">
      <c r="R317" s="9"/>
      <c r="S317" s="9"/>
      <c r="X317" s="10"/>
      <c r="Y317" s="10"/>
      <c r="Z317" s="10"/>
      <c r="AE317" s="10"/>
      <c r="AF317" s="10"/>
    </row>
    <row r="318" spans="18:32" ht="12.75" x14ac:dyDescent="0.2">
      <c r="R318" s="9"/>
      <c r="S318" s="9"/>
      <c r="X318" s="10"/>
      <c r="Y318" s="10"/>
      <c r="Z318" s="10"/>
      <c r="AE318" s="10"/>
      <c r="AF318" s="10"/>
    </row>
    <row r="319" spans="18:32" ht="12.75" x14ac:dyDescent="0.2">
      <c r="R319" s="9"/>
      <c r="S319" s="9"/>
      <c r="X319" s="10"/>
      <c r="Y319" s="10"/>
      <c r="Z319" s="10"/>
      <c r="AE319" s="10"/>
      <c r="AF319" s="10"/>
    </row>
    <row r="320" spans="18:32" ht="12.75" x14ac:dyDescent="0.2">
      <c r="R320" s="9"/>
      <c r="S320" s="9"/>
      <c r="X320" s="10"/>
      <c r="Y320" s="10"/>
      <c r="Z320" s="10"/>
      <c r="AE320" s="10"/>
      <c r="AF320" s="10"/>
    </row>
    <row r="321" spans="18:32" ht="12.75" x14ac:dyDescent="0.2">
      <c r="R321" s="9"/>
      <c r="S321" s="9"/>
      <c r="X321" s="10"/>
      <c r="Y321" s="10"/>
      <c r="Z321" s="10"/>
      <c r="AE321" s="10"/>
      <c r="AF321" s="10"/>
    </row>
    <row r="322" spans="18:32" ht="12.75" x14ac:dyDescent="0.2">
      <c r="R322" s="9"/>
      <c r="S322" s="9"/>
      <c r="X322" s="10"/>
      <c r="Y322" s="10"/>
      <c r="Z322" s="10"/>
      <c r="AE322" s="10"/>
      <c r="AF322" s="10"/>
    </row>
    <row r="323" spans="18:32" ht="12.75" x14ac:dyDescent="0.2">
      <c r="R323" s="9"/>
      <c r="S323" s="9"/>
      <c r="X323" s="10"/>
      <c r="Y323" s="10"/>
      <c r="Z323" s="10"/>
      <c r="AE323" s="10"/>
      <c r="AF323" s="10"/>
    </row>
    <row r="324" spans="18:32" ht="12.75" x14ac:dyDescent="0.2">
      <c r="R324" s="9"/>
      <c r="S324" s="9"/>
      <c r="X324" s="10"/>
      <c r="Y324" s="10"/>
      <c r="Z324" s="10"/>
      <c r="AE324" s="10"/>
      <c r="AF324" s="10"/>
    </row>
    <row r="325" spans="18:32" ht="12.75" x14ac:dyDescent="0.2">
      <c r="R325" s="9"/>
      <c r="S325" s="9"/>
      <c r="X325" s="10"/>
      <c r="Y325" s="10"/>
      <c r="Z325" s="10"/>
      <c r="AE325" s="10"/>
      <c r="AF325" s="10"/>
    </row>
    <row r="326" spans="18:32" ht="12.75" x14ac:dyDescent="0.2">
      <c r="R326" s="9"/>
      <c r="S326" s="9"/>
      <c r="X326" s="10"/>
      <c r="Y326" s="10"/>
      <c r="Z326" s="10"/>
      <c r="AE326" s="10"/>
      <c r="AF326" s="10"/>
    </row>
    <row r="327" spans="18:32" ht="12.75" x14ac:dyDescent="0.2">
      <c r="R327" s="9"/>
      <c r="S327" s="9"/>
      <c r="X327" s="10"/>
      <c r="Y327" s="10"/>
      <c r="Z327" s="10"/>
      <c r="AE327" s="10"/>
      <c r="AF327" s="10"/>
    </row>
    <row r="328" spans="18:32" ht="12.75" x14ac:dyDescent="0.2">
      <c r="R328" s="9"/>
      <c r="S328" s="9"/>
      <c r="X328" s="10"/>
      <c r="Y328" s="10"/>
      <c r="Z328" s="10"/>
      <c r="AE328" s="10"/>
      <c r="AF328" s="10"/>
    </row>
    <row r="329" spans="18:32" ht="12.75" x14ac:dyDescent="0.2">
      <c r="R329" s="9"/>
      <c r="S329" s="9"/>
      <c r="X329" s="10"/>
      <c r="Y329" s="10"/>
      <c r="Z329" s="10"/>
      <c r="AE329" s="10"/>
      <c r="AF329" s="10"/>
    </row>
    <row r="330" spans="18:32" ht="12.75" x14ac:dyDescent="0.2">
      <c r="R330" s="9"/>
      <c r="S330" s="9"/>
      <c r="X330" s="10"/>
      <c r="Y330" s="10"/>
      <c r="Z330" s="10"/>
      <c r="AE330" s="10"/>
      <c r="AF330" s="10"/>
    </row>
    <row r="331" spans="18:32" ht="12.75" x14ac:dyDescent="0.2">
      <c r="R331" s="9"/>
      <c r="S331" s="9"/>
      <c r="X331" s="10"/>
      <c r="Y331" s="10"/>
      <c r="Z331" s="10"/>
      <c r="AE331" s="10"/>
      <c r="AF331" s="10"/>
    </row>
    <row r="332" spans="18:32" ht="12.75" x14ac:dyDescent="0.2">
      <c r="R332" s="9"/>
      <c r="S332" s="9"/>
      <c r="X332" s="10"/>
      <c r="Y332" s="10"/>
      <c r="Z332" s="10"/>
      <c r="AE332" s="10"/>
      <c r="AF332" s="10"/>
    </row>
    <row r="333" spans="18:32" ht="12.75" x14ac:dyDescent="0.2">
      <c r="R333" s="9"/>
      <c r="S333" s="9"/>
      <c r="X333" s="10"/>
      <c r="Y333" s="10"/>
      <c r="Z333" s="10"/>
      <c r="AE333" s="10"/>
      <c r="AF333" s="10"/>
    </row>
    <row r="334" spans="18:32" ht="12.75" x14ac:dyDescent="0.2">
      <c r="R334" s="9"/>
      <c r="S334" s="9"/>
      <c r="X334" s="10"/>
      <c r="Y334" s="10"/>
      <c r="Z334" s="10"/>
      <c r="AE334" s="10"/>
      <c r="AF334" s="10"/>
    </row>
    <row r="335" spans="18:32" ht="12.75" x14ac:dyDescent="0.2">
      <c r="R335" s="9"/>
      <c r="S335" s="9"/>
      <c r="X335" s="10"/>
      <c r="Y335" s="10"/>
      <c r="Z335" s="10"/>
      <c r="AE335" s="10"/>
      <c r="AF335" s="10"/>
    </row>
    <row r="336" spans="18:32" ht="12.75" x14ac:dyDescent="0.2">
      <c r="R336" s="9"/>
      <c r="S336" s="9"/>
      <c r="X336" s="10"/>
      <c r="Y336" s="10"/>
      <c r="Z336" s="10"/>
      <c r="AE336" s="10"/>
      <c r="AF336" s="10"/>
    </row>
    <row r="337" spans="18:32" ht="12.75" x14ac:dyDescent="0.2">
      <c r="R337" s="9"/>
      <c r="S337" s="9"/>
      <c r="X337" s="10"/>
      <c r="Y337" s="10"/>
      <c r="Z337" s="10"/>
      <c r="AE337" s="10"/>
      <c r="AF337" s="10"/>
    </row>
    <row r="338" spans="18:32" ht="12.75" x14ac:dyDescent="0.2">
      <c r="R338" s="9"/>
      <c r="S338" s="9"/>
      <c r="X338" s="10"/>
      <c r="Y338" s="10"/>
      <c r="Z338" s="10"/>
      <c r="AE338" s="10"/>
      <c r="AF338" s="10"/>
    </row>
    <row r="339" spans="18:32" ht="12.75" x14ac:dyDescent="0.2">
      <c r="R339" s="9"/>
      <c r="S339" s="9"/>
      <c r="X339" s="10"/>
      <c r="Y339" s="10"/>
      <c r="Z339" s="10"/>
      <c r="AE339" s="10"/>
      <c r="AF339" s="10"/>
    </row>
    <row r="340" spans="18:32" ht="12.75" x14ac:dyDescent="0.2">
      <c r="R340" s="9"/>
      <c r="S340" s="9"/>
      <c r="X340" s="10"/>
      <c r="Y340" s="10"/>
      <c r="Z340" s="10"/>
      <c r="AE340" s="10"/>
      <c r="AF340" s="10"/>
    </row>
    <row r="341" spans="18:32" ht="12.75" x14ac:dyDescent="0.2">
      <c r="R341" s="9"/>
      <c r="S341" s="9"/>
      <c r="X341" s="10"/>
      <c r="Y341" s="10"/>
      <c r="Z341" s="10"/>
      <c r="AE341" s="10"/>
      <c r="AF341" s="10"/>
    </row>
    <row r="342" spans="18:32" ht="12.75" x14ac:dyDescent="0.2">
      <c r="R342" s="9"/>
      <c r="S342" s="9"/>
      <c r="X342" s="10"/>
      <c r="Y342" s="10"/>
      <c r="Z342" s="10"/>
      <c r="AE342" s="10"/>
      <c r="AF342" s="10"/>
    </row>
    <row r="343" spans="18:32" ht="12.75" x14ac:dyDescent="0.2">
      <c r="R343" s="9"/>
      <c r="S343" s="9"/>
      <c r="X343" s="10"/>
      <c r="Y343" s="10"/>
      <c r="Z343" s="10"/>
      <c r="AE343" s="10"/>
      <c r="AF343" s="10"/>
    </row>
    <row r="344" spans="18:32" ht="12.75" x14ac:dyDescent="0.2">
      <c r="R344" s="9"/>
      <c r="S344" s="9"/>
      <c r="X344" s="10"/>
      <c r="Y344" s="10"/>
      <c r="Z344" s="10"/>
      <c r="AE344" s="10"/>
      <c r="AF344" s="10"/>
    </row>
    <row r="345" spans="18:32" ht="12.75" x14ac:dyDescent="0.2">
      <c r="R345" s="9"/>
      <c r="S345" s="9"/>
      <c r="X345" s="10"/>
      <c r="Y345" s="10"/>
      <c r="Z345" s="10"/>
      <c r="AE345" s="10"/>
      <c r="AF345" s="10"/>
    </row>
    <row r="346" spans="18:32" ht="12.75" x14ac:dyDescent="0.2">
      <c r="R346" s="9"/>
      <c r="S346" s="9"/>
      <c r="X346" s="10"/>
      <c r="Y346" s="10"/>
      <c r="Z346" s="10"/>
      <c r="AE346" s="10"/>
      <c r="AF346" s="10"/>
    </row>
    <row r="347" spans="18:32" ht="12.75" x14ac:dyDescent="0.2">
      <c r="R347" s="9"/>
      <c r="S347" s="9"/>
      <c r="X347" s="10"/>
      <c r="Y347" s="10"/>
      <c r="Z347" s="10"/>
      <c r="AE347" s="10"/>
      <c r="AF347" s="10"/>
    </row>
    <row r="348" spans="18:32" ht="12.75" x14ac:dyDescent="0.2">
      <c r="R348" s="9"/>
      <c r="S348" s="9"/>
      <c r="X348" s="10"/>
      <c r="Y348" s="10"/>
      <c r="Z348" s="10"/>
      <c r="AE348" s="10"/>
      <c r="AF348" s="10"/>
    </row>
    <row r="349" spans="18:32" ht="12.75" x14ac:dyDescent="0.2">
      <c r="R349" s="9"/>
      <c r="S349" s="9"/>
      <c r="X349" s="10"/>
      <c r="Y349" s="10"/>
      <c r="Z349" s="10"/>
      <c r="AE349" s="10"/>
      <c r="AF349" s="10"/>
    </row>
    <row r="350" spans="18:32" ht="12.75" x14ac:dyDescent="0.2">
      <c r="R350" s="9"/>
      <c r="S350" s="9"/>
      <c r="X350" s="10"/>
      <c r="Y350" s="10"/>
      <c r="Z350" s="10"/>
      <c r="AE350" s="10"/>
      <c r="AF350" s="10"/>
    </row>
    <row r="351" spans="18:32" ht="12.75" x14ac:dyDescent="0.2">
      <c r="R351" s="9"/>
      <c r="S351" s="9"/>
      <c r="X351" s="10"/>
      <c r="Y351" s="10"/>
      <c r="Z351" s="10"/>
      <c r="AE351" s="10"/>
      <c r="AF351" s="10"/>
    </row>
    <row r="352" spans="18:32" ht="12.75" x14ac:dyDescent="0.2">
      <c r="R352" s="9"/>
      <c r="S352" s="9"/>
      <c r="X352" s="10"/>
      <c r="Y352" s="10"/>
      <c r="Z352" s="10"/>
      <c r="AE352" s="10"/>
      <c r="AF352" s="10"/>
    </row>
    <row r="353" spans="18:32" ht="12.75" x14ac:dyDescent="0.2">
      <c r="R353" s="9"/>
      <c r="S353" s="9"/>
      <c r="X353" s="10"/>
      <c r="Y353" s="10"/>
      <c r="Z353" s="10"/>
      <c r="AE353" s="10"/>
      <c r="AF353" s="10"/>
    </row>
    <row r="354" spans="18:32" ht="12.75" x14ac:dyDescent="0.2">
      <c r="R354" s="9"/>
      <c r="S354" s="9"/>
      <c r="X354" s="10"/>
      <c r="Y354" s="10"/>
      <c r="Z354" s="10"/>
      <c r="AE354" s="10"/>
      <c r="AF354" s="10"/>
    </row>
    <row r="355" spans="18:32" ht="12.75" x14ac:dyDescent="0.2">
      <c r="R355" s="9"/>
      <c r="S355" s="9"/>
      <c r="X355" s="10"/>
      <c r="Y355" s="10"/>
      <c r="Z355" s="10"/>
      <c r="AE355" s="10"/>
      <c r="AF355" s="10"/>
    </row>
    <row r="356" spans="18:32" ht="12.75" x14ac:dyDescent="0.2">
      <c r="R356" s="9"/>
      <c r="S356" s="9"/>
      <c r="X356" s="10"/>
      <c r="Y356" s="10"/>
      <c r="Z356" s="10"/>
      <c r="AE356" s="10"/>
      <c r="AF356" s="10"/>
    </row>
    <row r="357" spans="18:32" ht="12.75" x14ac:dyDescent="0.2">
      <c r="R357" s="9"/>
      <c r="S357" s="9"/>
      <c r="X357" s="10"/>
      <c r="Y357" s="10"/>
      <c r="Z357" s="10"/>
      <c r="AE357" s="10"/>
      <c r="AF357" s="10"/>
    </row>
    <row r="358" spans="18:32" ht="12.75" x14ac:dyDescent="0.2">
      <c r="R358" s="9"/>
      <c r="S358" s="9"/>
      <c r="X358" s="10"/>
      <c r="Y358" s="10"/>
      <c r="Z358" s="10"/>
      <c r="AE358" s="10"/>
      <c r="AF358" s="10"/>
    </row>
    <row r="359" spans="18:32" ht="12.75" x14ac:dyDescent="0.2">
      <c r="R359" s="9"/>
      <c r="S359" s="9"/>
      <c r="X359" s="10"/>
      <c r="Y359" s="10"/>
      <c r="Z359" s="10"/>
      <c r="AE359" s="10"/>
      <c r="AF359" s="10"/>
    </row>
    <row r="360" spans="18:32" ht="12.75" x14ac:dyDescent="0.2">
      <c r="R360" s="9"/>
      <c r="S360" s="9"/>
      <c r="X360" s="10"/>
      <c r="Y360" s="10"/>
      <c r="Z360" s="10"/>
      <c r="AE360" s="10"/>
      <c r="AF360" s="10"/>
    </row>
    <row r="361" spans="18:32" ht="12.75" x14ac:dyDescent="0.2">
      <c r="R361" s="9"/>
      <c r="S361" s="9"/>
      <c r="X361" s="10"/>
      <c r="Y361" s="10"/>
      <c r="Z361" s="10"/>
      <c r="AE361" s="10"/>
      <c r="AF361" s="10"/>
    </row>
    <row r="362" spans="18:32" ht="12.75" x14ac:dyDescent="0.2">
      <c r="R362" s="9"/>
      <c r="S362" s="9"/>
      <c r="X362" s="10"/>
      <c r="Y362" s="10"/>
      <c r="Z362" s="10"/>
      <c r="AE362" s="10"/>
      <c r="AF362" s="10"/>
    </row>
    <row r="363" spans="18:32" ht="12.75" x14ac:dyDescent="0.2">
      <c r="R363" s="9"/>
      <c r="S363" s="9"/>
      <c r="X363" s="10"/>
      <c r="Y363" s="10"/>
      <c r="Z363" s="10"/>
      <c r="AE363" s="10"/>
      <c r="AF363" s="10"/>
    </row>
    <row r="364" spans="18:32" ht="12.75" x14ac:dyDescent="0.2">
      <c r="R364" s="9"/>
      <c r="S364" s="9"/>
      <c r="X364" s="10"/>
      <c r="Y364" s="10"/>
      <c r="Z364" s="10"/>
      <c r="AE364" s="10"/>
      <c r="AF364" s="10"/>
    </row>
    <row r="365" spans="18:32" ht="12.75" x14ac:dyDescent="0.2">
      <c r="R365" s="9"/>
      <c r="S365" s="9"/>
      <c r="X365" s="10"/>
      <c r="Y365" s="10"/>
      <c r="Z365" s="10"/>
      <c r="AE365" s="10"/>
      <c r="AF365" s="10"/>
    </row>
    <row r="366" spans="18:32" ht="12.75" x14ac:dyDescent="0.2">
      <c r="R366" s="9"/>
      <c r="S366" s="9"/>
      <c r="X366" s="10"/>
      <c r="Y366" s="10"/>
      <c r="Z366" s="10"/>
      <c r="AE366" s="10"/>
      <c r="AF366" s="10"/>
    </row>
    <row r="367" spans="18:32" ht="12.75" x14ac:dyDescent="0.2">
      <c r="R367" s="9"/>
      <c r="S367" s="9"/>
      <c r="X367" s="10"/>
      <c r="Y367" s="10"/>
      <c r="Z367" s="10"/>
      <c r="AE367" s="10"/>
      <c r="AF367" s="10"/>
    </row>
    <row r="368" spans="18:32" ht="12.75" x14ac:dyDescent="0.2">
      <c r="R368" s="9"/>
      <c r="S368" s="9"/>
      <c r="X368" s="10"/>
      <c r="Y368" s="10"/>
      <c r="Z368" s="10"/>
      <c r="AE368" s="10"/>
      <c r="AF368" s="10"/>
    </row>
    <row r="369" spans="18:32" ht="12.75" x14ac:dyDescent="0.2">
      <c r="R369" s="9"/>
      <c r="S369" s="9"/>
      <c r="X369" s="10"/>
      <c r="Y369" s="10"/>
      <c r="Z369" s="10"/>
      <c r="AE369" s="10"/>
      <c r="AF369" s="10"/>
    </row>
    <row r="370" spans="18:32" ht="12.75" x14ac:dyDescent="0.2">
      <c r="R370" s="9"/>
      <c r="S370" s="9"/>
      <c r="X370" s="10"/>
      <c r="Y370" s="10"/>
      <c r="Z370" s="10"/>
      <c r="AE370" s="10"/>
      <c r="AF370" s="10"/>
    </row>
    <row r="371" spans="18:32" ht="12.75" x14ac:dyDescent="0.2">
      <c r="R371" s="9"/>
      <c r="S371" s="9"/>
      <c r="X371" s="10"/>
      <c r="Y371" s="10"/>
      <c r="Z371" s="10"/>
      <c r="AE371" s="10"/>
      <c r="AF371" s="10"/>
    </row>
    <row r="372" spans="18:32" ht="12.75" x14ac:dyDescent="0.2">
      <c r="R372" s="9"/>
      <c r="S372" s="9"/>
      <c r="X372" s="10"/>
      <c r="Y372" s="10"/>
      <c r="Z372" s="10"/>
      <c r="AE372" s="10"/>
      <c r="AF372" s="10"/>
    </row>
    <row r="373" spans="18:32" ht="12.75" x14ac:dyDescent="0.2">
      <c r="R373" s="9"/>
      <c r="S373" s="9"/>
      <c r="X373" s="10"/>
      <c r="Y373" s="10"/>
      <c r="Z373" s="10"/>
      <c r="AE373" s="10"/>
      <c r="AF373" s="10"/>
    </row>
    <row r="374" spans="18:32" ht="12.75" x14ac:dyDescent="0.2">
      <c r="R374" s="9"/>
      <c r="S374" s="9"/>
      <c r="X374" s="10"/>
      <c r="Y374" s="10"/>
      <c r="Z374" s="10"/>
      <c r="AE374" s="10"/>
      <c r="AF374" s="10"/>
    </row>
    <row r="375" spans="18:32" ht="12.75" x14ac:dyDescent="0.2">
      <c r="R375" s="9"/>
      <c r="S375" s="9"/>
      <c r="X375" s="10"/>
      <c r="Y375" s="10"/>
      <c r="Z375" s="10"/>
      <c r="AE375" s="10"/>
      <c r="AF375" s="10"/>
    </row>
    <row r="376" spans="18:32" ht="12.75" x14ac:dyDescent="0.2">
      <c r="R376" s="9"/>
      <c r="S376" s="9"/>
      <c r="X376" s="10"/>
      <c r="Y376" s="10"/>
      <c r="Z376" s="10"/>
      <c r="AE376" s="10"/>
      <c r="AF376" s="10"/>
    </row>
    <row r="377" spans="18:32" ht="12.75" x14ac:dyDescent="0.2">
      <c r="R377" s="9"/>
      <c r="S377" s="9"/>
      <c r="X377" s="10"/>
      <c r="Y377" s="10"/>
      <c r="Z377" s="10"/>
      <c r="AE377" s="10"/>
      <c r="AF377" s="10"/>
    </row>
    <row r="378" spans="18:32" ht="12.75" x14ac:dyDescent="0.2">
      <c r="R378" s="9"/>
      <c r="S378" s="9"/>
      <c r="X378" s="10"/>
      <c r="Y378" s="10"/>
      <c r="Z378" s="10"/>
      <c r="AE378" s="10"/>
      <c r="AF378" s="10"/>
    </row>
    <row r="379" spans="18:32" ht="12.75" x14ac:dyDescent="0.2">
      <c r="R379" s="9"/>
      <c r="S379" s="9"/>
      <c r="X379" s="10"/>
      <c r="Y379" s="10"/>
      <c r="Z379" s="10"/>
      <c r="AE379" s="10"/>
      <c r="AF379" s="10"/>
    </row>
    <row r="380" spans="18:32" ht="12.75" x14ac:dyDescent="0.2">
      <c r="R380" s="9"/>
      <c r="S380" s="9"/>
      <c r="X380" s="10"/>
      <c r="Y380" s="10"/>
      <c r="Z380" s="10"/>
      <c r="AE380" s="10"/>
      <c r="AF380" s="10"/>
    </row>
    <row r="381" spans="18:32" ht="12.75" x14ac:dyDescent="0.2">
      <c r="R381" s="9"/>
      <c r="S381" s="9"/>
      <c r="X381" s="10"/>
      <c r="Y381" s="10"/>
      <c r="Z381" s="10"/>
      <c r="AE381" s="10"/>
      <c r="AF381" s="10"/>
    </row>
    <row r="382" spans="18:32" ht="12.75" x14ac:dyDescent="0.2">
      <c r="R382" s="9"/>
      <c r="S382" s="9"/>
      <c r="X382" s="10"/>
      <c r="Y382" s="10"/>
      <c r="Z382" s="10"/>
      <c r="AE382" s="10"/>
      <c r="AF382" s="10"/>
    </row>
    <row r="383" spans="18:32" ht="12.75" x14ac:dyDescent="0.2">
      <c r="R383" s="9"/>
      <c r="S383" s="9"/>
      <c r="X383" s="10"/>
      <c r="Y383" s="10"/>
      <c r="Z383" s="10"/>
      <c r="AE383" s="10"/>
      <c r="AF383" s="10"/>
    </row>
    <row r="384" spans="18:32" ht="12.75" x14ac:dyDescent="0.2">
      <c r="R384" s="9"/>
      <c r="S384" s="9"/>
      <c r="X384" s="10"/>
      <c r="Y384" s="10"/>
      <c r="Z384" s="10"/>
      <c r="AE384" s="10"/>
      <c r="AF384" s="10"/>
    </row>
    <row r="385" spans="18:32" ht="12.75" x14ac:dyDescent="0.2">
      <c r="R385" s="9"/>
      <c r="S385" s="9"/>
      <c r="X385" s="10"/>
      <c r="Y385" s="10"/>
      <c r="Z385" s="10"/>
      <c r="AE385" s="10"/>
      <c r="AF385" s="10"/>
    </row>
    <row r="386" spans="18:32" ht="12.75" x14ac:dyDescent="0.2">
      <c r="R386" s="9"/>
      <c r="S386" s="9"/>
      <c r="X386" s="10"/>
      <c r="Y386" s="10"/>
      <c r="Z386" s="10"/>
      <c r="AE386" s="10"/>
      <c r="AF386" s="10"/>
    </row>
    <row r="387" spans="18:32" ht="12.75" x14ac:dyDescent="0.2">
      <c r="R387" s="9"/>
      <c r="S387" s="9"/>
      <c r="X387" s="10"/>
      <c r="Y387" s="10"/>
      <c r="Z387" s="10"/>
      <c r="AE387" s="10"/>
      <c r="AF387" s="10"/>
    </row>
    <row r="388" spans="18:32" ht="12.75" x14ac:dyDescent="0.2">
      <c r="R388" s="9"/>
      <c r="S388" s="9"/>
      <c r="X388" s="10"/>
      <c r="Y388" s="10"/>
      <c r="Z388" s="10"/>
      <c r="AE388" s="10"/>
      <c r="AF388" s="10"/>
    </row>
    <row r="389" spans="18:32" ht="12.75" x14ac:dyDescent="0.2">
      <c r="R389" s="9"/>
      <c r="S389" s="9"/>
      <c r="X389" s="10"/>
      <c r="Y389" s="10"/>
      <c r="Z389" s="10"/>
      <c r="AE389" s="10"/>
      <c r="AF389" s="10"/>
    </row>
    <row r="390" spans="18:32" ht="12.75" x14ac:dyDescent="0.2">
      <c r="R390" s="9"/>
      <c r="S390" s="9"/>
      <c r="X390" s="10"/>
      <c r="Y390" s="10"/>
      <c r="Z390" s="10"/>
      <c r="AE390" s="10"/>
      <c r="AF390" s="10"/>
    </row>
    <row r="391" spans="18:32" ht="12.75" x14ac:dyDescent="0.2">
      <c r="R391" s="9"/>
      <c r="S391" s="9"/>
      <c r="X391" s="10"/>
      <c r="Y391" s="10"/>
      <c r="Z391" s="10"/>
      <c r="AE391" s="10"/>
      <c r="AF391" s="10"/>
    </row>
    <row r="392" spans="18:32" ht="12.75" x14ac:dyDescent="0.2">
      <c r="R392" s="9"/>
      <c r="S392" s="9"/>
      <c r="X392" s="10"/>
      <c r="Y392" s="10"/>
      <c r="Z392" s="10"/>
      <c r="AE392" s="10"/>
      <c r="AF392" s="10"/>
    </row>
    <row r="393" spans="18:32" ht="12.75" x14ac:dyDescent="0.2">
      <c r="R393" s="9"/>
      <c r="S393" s="9"/>
      <c r="X393" s="10"/>
      <c r="Y393" s="10"/>
      <c r="Z393" s="10"/>
      <c r="AE393" s="10"/>
      <c r="AF393" s="10"/>
    </row>
    <row r="394" spans="18:32" ht="12.75" x14ac:dyDescent="0.2">
      <c r="R394" s="9"/>
      <c r="S394" s="9"/>
      <c r="X394" s="10"/>
      <c r="Y394" s="10"/>
      <c r="Z394" s="10"/>
      <c r="AE394" s="10"/>
      <c r="AF394" s="10"/>
    </row>
    <row r="395" spans="18:32" ht="12.75" x14ac:dyDescent="0.2">
      <c r="R395" s="9"/>
      <c r="S395" s="9"/>
      <c r="X395" s="10"/>
      <c r="Y395" s="10"/>
      <c r="Z395" s="10"/>
      <c r="AE395" s="10"/>
      <c r="AF395" s="10"/>
    </row>
    <row r="396" spans="18:32" ht="12.75" x14ac:dyDescent="0.2">
      <c r="R396" s="9"/>
      <c r="S396" s="9"/>
      <c r="X396" s="10"/>
      <c r="Y396" s="10"/>
      <c r="Z396" s="10"/>
      <c r="AE396" s="10"/>
      <c r="AF396" s="10"/>
    </row>
    <row r="397" spans="18:32" ht="12.75" x14ac:dyDescent="0.2">
      <c r="R397" s="9"/>
      <c r="S397" s="9"/>
      <c r="X397" s="10"/>
      <c r="Y397" s="10"/>
      <c r="Z397" s="10"/>
      <c r="AE397" s="10"/>
      <c r="AF397" s="10"/>
    </row>
    <row r="398" spans="18:32" ht="12.75" x14ac:dyDescent="0.2">
      <c r="R398" s="9"/>
      <c r="S398" s="9"/>
      <c r="X398" s="10"/>
      <c r="Y398" s="10"/>
      <c r="Z398" s="10"/>
      <c r="AE398" s="10"/>
      <c r="AF398" s="10"/>
    </row>
    <row r="399" spans="18:32" ht="12.75" x14ac:dyDescent="0.2">
      <c r="R399" s="9"/>
      <c r="S399" s="9"/>
      <c r="X399" s="10"/>
      <c r="Y399" s="10"/>
      <c r="Z399" s="10"/>
      <c r="AE399" s="10"/>
      <c r="AF399" s="10"/>
    </row>
    <row r="400" spans="18:32" ht="12.75" x14ac:dyDescent="0.2">
      <c r="R400" s="9"/>
      <c r="S400" s="9"/>
      <c r="X400" s="10"/>
      <c r="Y400" s="10"/>
      <c r="Z400" s="10"/>
      <c r="AE400" s="10"/>
      <c r="AF400" s="10"/>
    </row>
    <row r="401" spans="18:32" ht="12.75" x14ac:dyDescent="0.2">
      <c r="R401" s="9"/>
      <c r="S401" s="9"/>
      <c r="X401" s="10"/>
      <c r="Y401" s="10"/>
      <c r="Z401" s="10"/>
      <c r="AE401" s="10"/>
      <c r="AF401" s="10"/>
    </row>
    <row r="402" spans="18:32" ht="12.75" x14ac:dyDescent="0.2">
      <c r="R402" s="9"/>
      <c r="S402" s="9"/>
      <c r="X402" s="10"/>
      <c r="Y402" s="10"/>
      <c r="Z402" s="10"/>
      <c r="AE402" s="10"/>
      <c r="AF402" s="10"/>
    </row>
    <row r="403" spans="18:32" ht="12.75" x14ac:dyDescent="0.2">
      <c r="R403" s="9"/>
      <c r="S403" s="9"/>
      <c r="X403" s="10"/>
      <c r="Y403" s="10"/>
      <c r="Z403" s="10"/>
      <c r="AE403" s="10"/>
      <c r="AF403" s="10"/>
    </row>
    <row r="404" spans="18:32" ht="12.75" x14ac:dyDescent="0.2">
      <c r="R404" s="9"/>
      <c r="S404" s="9"/>
      <c r="X404" s="10"/>
      <c r="Y404" s="10"/>
      <c r="Z404" s="10"/>
      <c r="AE404" s="10"/>
      <c r="AF404" s="10"/>
    </row>
    <row r="405" spans="18:32" ht="12.75" x14ac:dyDescent="0.2">
      <c r="R405" s="9"/>
      <c r="S405" s="9"/>
      <c r="X405" s="10"/>
      <c r="Y405" s="10"/>
      <c r="Z405" s="10"/>
      <c r="AE405" s="10"/>
      <c r="AF405" s="10"/>
    </row>
    <row r="406" spans="18:32" ht="12.75" x14ac:dyDescent="0.2">
      <c r="R406" s="9"/>
      <c r="S406" s="9"/>
      <c r="X406" s="10"/>
      <c r="Y406" s="10"/>
      <c r="Z406" s="10"/>
      <c r="AE406" s="10"/>
      <c r="AF406" s="10"/>
    </row>
    <row r="407" spans="18:32" ht="12.75" x14ac:dyDescent="0.2">
      <c r="R407" s="9"/>
      <c r="S407" s="9"/>
      <c r="X407" s="10"/>
      <c r="Y407" s="10"/>
      <c r="Z407" s="10"/>
      <c r="AE407" s="10"/>
      <c r="AF407" s="10"/>
    </row>
    <row r="408" spans="18:32" ht="12.75" x14ac:dyDescent="0.2">
      <c r="R408" s="9"/>
      <c r="S408" s="9"/>
      <c r="X408" s="10"/>
      <c r="Y408" s="10"/>
      <c r="Z408" s="10"/>
      <c r="AE408" s="10"/>
      <c r="AF408" s="10"/>
    </row>
    <row r="409" spans="18:32" ht="12.75" x14ac:dyDescent="0.2">
      <c r="R409" s="9"/>
      <c r="S409" s="9"/>
      <c r="X409" s="10"/>
      <c r="Y409" s="10"/>
      <c r="Z409" s="10"/>
      <c r="AE409" s="10"/>
      <c r="AF409" s="10"/>
    </row>
    <row r="410" spans="18:32" ht="12.75" x14ac:dyDescent="0.2">
      <c r="R410" s="9"/>
      <c r="S410" s="9"/>
      <c r="X410" s="10"/>
      <c r="Y410" s="10"/>
      <c r="Z410" s="10"/>
      <c r="AE410" s="10"/>
      <c r="AF410" s="10"/>
    </row>
    <row r="411" spans="18:32" ht="12.75" x14ac:dyDescent="0.2">
      <c r="R411" s="9"/>
      <c r="S411" s="9"/>
      <c r="X411" s="10"/>
      <c r="Y411" s="10"/>
      <c r="Z411" s="10"/>
      <c r="AE411" s="10"/>
      <c r="AF411" s="10"/>
    </row>
    <row r="412" spans="18:32" ht="12.75" x14ac:dyDescent="0.2">
      <c r="R412" s="9"/>
      <c r="S412" s="9"/>
      <c r="X412" s="10"/>
      <c r="Y412" s="10"/>
      <c r="Z412" s="10"/>
      <c r="AE412" s="10"/>
      <c r="AF412" s="10"/>
    </row>
    <row r="413" spans="18:32" ht="12.75" x14ac:dyDescent="0.2">
      <c r="R413" s="9"/>
      <c r="S413" s="9"/>
      <c r="X413" s="10"/>
      <c r="Y413" s="10"/>
      <c r="Z413" s="10"/>
      <c r="AE413" s="10"/>
      <c r="AF413" s="10"/>
    </row>
    <row r="414" spans="18:32" ht="12.75" x14ac:dyDescent="0.2">
      <c r="R414" s="9"/>
      <c r="S414" s="9"/>
      <c r="X414" s="10"/>
      <c r="Y414" s="10"/>
      <c r="Z414" s="10"/>
      <c r="AE414" s="10"/>
      <c r="AF414" s="10"/>
    </row>
    <row r="415" spans="18:32" ht="12.75" x14ac:dyDescent="0.2">
      <c r="R415" s="9"/>
      <c r="S415" s="9"/>
      <c r="X415" s="10"/>
      <c r="Y415" s="10"/>
      <c r="Z415" s="10"/>
      <c r="AE415" s="10"/>
      <c r="AF415" s="10"/>
    </row>
    <row r="416" spans="18:32" ht="12.75" x14ac:dyDescent="0.2">
      <c r="R416" s="9"/>
      <c r="S416" s="9"/>
      <c r="X416" s="10"/>
      <c r="Y416" s="10"/>
      <c r="Z416" s="10"/>
      <c r="AE416" s="10"/>
      <c r="AF416" s="10"/>
    </row>
    <row r="417" spans="18:32" ht="12.75" x14ac:dyDescent="0.2">
      <c r="R417" s="9"/>
      <c r="S417" s="9"/>
      <c r="X417" s="10"/>
      <c r="Y417" s="10"/>
      <c r="Z417" s="10"/>
      <c r="AE417" s="10"/>
      <c r="AF417" s="10"/>
    </row>
    <row r="418" spans="18:32" ht="12.75" x14ac:dyDescent="0.2">
      <c r="R418" s="9"/>
      <c r="S418" s="9"/>
      <c r="X418" s="10"/>
      <c r="Y418" s="10"/>
      <c r="Z418" s="10"/>
      <c r="AE418" s="10"/>
      <c r="AF418" s="10"/>
    </row>
    <row r="419" spans="18:32" ht="12.75" x14ac:dyDescent="0.2">
      <c r="R419" s="9"/>
      <c r="S419" s="9"/>
      <c r="X419" s="10"/>
      <c r="Y419" s="10"/>
      <c r="Z419" s="10"/>
      <c r="AE419" s="10"/>
      <c r="AF419" s="10"/>
    </row>
    <row r="420" spans="18:32" ht="12.75" x14ac:dyDescent="0.2">
      <c r="R420" s="9"/>
      <c r="S420" s="9"/>
      <c r="X420" s="10"/>
      <c r="Y420" s="10"/>
      <c r="Z420" s="10"/>
      <c r="AE420" s="10"/>
      <c r="AF420" s="10"/>
    </row>
    <row r="421" spans="18:32" ht="12.75" x14ac:dyDescent="0.2">
      <c r="R421" s="9"/>
      <c r="S421" s="9"/>
      <c r="X421" s="10"/>
      <c r="Y421" s="10"/>
      <c r="Z421" s="10"/>
      <c r="AE421" s="10"/>
      <c r="AF421" s="10"/>
    </row>
    <row r="422" spans="18:32" ht="12.75" x14ac:dyDescent="0.2">
      <c r="R422" s="9"/>
      <c r="S422" s="9"/>
      <c r="X422" s="10"/>
      <c r="Y422" s="10"/>
      <c r="Z422" s="10"/>
      <c r="AE422" s="10"/>
      <c r="AF422" s="10"/>
    </row>
    <row r="423" spans="18:32" ht="12.75" x14ac:dyDescent="0.2">
      <c r="R423" s="9"/>
      <c r="S423" s="9"/>
      <c r="X423" s="10"/>
      <c r="Y423" s="10"/>
      <c r="Z423" s="10"/>
      <c r="AE423" s="10"/>
      <c r="AF423" s="10"/>
    </row>
    <row r="424" spans="18:32" ht="12.75" x14ac:dyDescent="0.2">
      <c r="R424" s="9"/>
      <c r="S424" s="9"/>
      <c r="X424" s="10"/>
      <c r="Y424" s="10"/>
      <c r="Z424" s="10"/>
      <c r="AE424" s="10"/>
      <c r="AF424" s="10"/>
    </row>
    <row r="425" spans="18:32" ht="12.75" x14ac:dyDescent="0.2">
      <c r="R425" s="9"/>
      <c r="S425" s="9"/>
      <c r="X425" s="10"/>
      <c r="Y425" s="10"/>
      <c r="Z425" s="10"/>
      <c r="AE425" s="10"/>
      <c r="AF425" s="10"/>
    </row>
    <row r="426" spans="18:32" ht="12.75" x14ac:dyDescent="0.2">
      <c r="R426" s="9"/>
      <c r="S426" s="9"/>
      <c r="X426" s="10"/>
      <c r="Y426" s="10"/>
      <c r="Z426" s="10"/>
      <c r="AE426" s="10"/>
      <c r="AF426" s="10"/>
    </row>
    <row r="427" spans="18:32" ht="12.75" x14ac:dyDescent="0.2">
      <c r="R427" s="9"/>
      <c r="S427" s="9"/>
      <c r="X427" s="10"/>
      <c r="Y427" s="10"/>
      <c r="Z427" s="10"/>
      <c r="AE427" s="10"/>
      <c r="AF427" s="10"/>
    </row>
    <row r="428" spans="18:32" ht="12.75" x14ac:dyDescent="0.2">
      <c r="R428" s="9"/>
      <c r="S428" s="9"/>
      <c r="X428" s="10"/>
      <c r="Y428" s="10"/>
      <c r="Z428" s="10"/>
      <c r="AE428" s="10"/>
      <c r="AF428" s="10"/>
    </row>
    <row r="429" spans="18:32" ht="12.75" x14ac:dyDescent="0.2">
      <c r="R429" s="9"/>
      <c r="S429" s="9"/>
      <c r="X429" s="10"/>
      <c r="Y429" s="10"/>
      <c r="Z429" s="10"/>
      <c r="AE429" s="10"/>
      <c r="AF429" s="10"/>
    </row>
    <row r="430" spans="18:32" ht="12.75" x14ac:dyDescent="0.2">
      <c r="R430" s="9"/>
      <c r="S430" s="9"/>
      <c r="X430" s="10"/>
      <c r="Y430" s="10"/>
      <c r="Z430" s="10"/>
      <c r="AE430" s="10"/>
      <c r="AF430" s="10"/>
    </row>
    <row r="431" spans="18:32" ht="12.75" x14ac:dyDescent="0.2">
      <c r="R431" s="9"/>
      <c r="S431" s="9"/>
      <c r="X431" s="10"/>
      <c r="Y431" s="10"/>
      <c r="Z431" s="10"/>
      <c r="AE431" s="10"/>
      <c r="AF431" s="10"/>
    </row>
    <row r="432" spans="18:32" ht="12.75" x14ac:dyDescent="0.2">
      <c r="R432" s="9"/>
      <c r="S432" s="9"/>
      <c r="X432" s="10"/>
      <c r="Y432" s="10"/>
      <c r="Z432" s="10"/>
      <c r="AE432" s="10"/>
      <c r="AF432" s="10"/>
    </row>
    <row r="433" spans="18:32" ht="12.75" x14ac:dyDescent="0.2">
      <c r="R433" s="9"/>
      <c r="S433" s="9"/>
      <c r="X433" s="10"/>
      <c r="Y433" s="10"/>
      <c r="Z433" s="10"/>
      <c r="AE433" s="10"/>
      <c r="AF433" s="10"/>
    </row>
    <row r="434" spans="18:32" ht="12.75" x14ac:dyDescent="0.2">
      <c r="R434" s="9"/>
      <c r="S434" s="9"/>
      <c r="X434" s="10"/>
      <c r="Y434" s="10"/>
      <c r="Z434" s="10"/>
      <c r="AE434" s="10"/>
      <c r="AF434" s="10"/>
    </row>
    <row r="435" spans="18:32" ht="12.75" x14ac:dyDescent="0.2">
      <c r="R435" s="9"/>
      <c r="S435" s="9"/>
      <c r="X435" s="10"/>
      <c r="Y435" s="10"/>
      <c r="Z435" s="10"/>
      <c r="AE435" s="10"/>
      <c r="AF435" s="10"/>
    </row>
    <row r="436" spans="18:32" ht="12.75" x14ac:dyDescent="0.2">
      <c r="R436" s="9"/>
      <c r="S436" s="9"/>
      <c r="X436" s="10"/>
      <c r="Y436" s="10"/>
      <c r="Z436" s="10"/>
      <c r="AE436" s="10"/>
      <c r="AF436" s="10"/>
    </row>
    <row r="437" spans="18:32" ht="12.75" x14ac:dyDescent="0.2">
      <c r="R437" s="9"/>
      <c r="S437" s="9"/>
      <c r="X437" s="10"/>
      <c r="Y437" s="10"/>
      <c r="Z437" s="10"/>
      <c r="AE437" s="10"/>
      <c r="AF437" s="10"/>
    </row>
    <row r="438" spans="18:32" ht="12.75" x14ac:dyDescent="0.2">
      <c r="R438" s="9"/>
      <c r="S438" s="9"/>
      <c r="X438" s="10"/>
      <c r="Y438" s="10"/>
      <c r="Z438" s="10"/>
      <c r="AE438" s="10"/>
      <c r="AF438" s="10"/>
    </row>
    <row r="439" spans="18:32" ht="12.75" x14ac:dyDescent="0.2">
      <c r="R439" s="9"/>
      <c r="S439" s="9"/>
      <c r="X439" s="10"/>
      <c r="Y439" s="10"/>
      <c r="Z439" s="10"/>
      <c r="AE439" s="10"/>
      <c r="AF439" s="10"/>
    </row>
    <row r="440" spans="18:32" ht="12.75" x14ac:dyDescent="0.2">
      <c r="R440" s="9"/>
      <c r="S440" s="9"/>
      <c r="X440" s="10"/>
      <c r="Y440" s="10"/>
      <c r="Z440" s="10"/>
      <c r="AE440" s="10"/>
      <c r="AF440" s="10"/>
    </row>
    <row r="441" spans="18:32" ht="12.75" x14ac:dyDescent="0.2">
      <c r="R441" s="9"/>
      <c r="S441" s="9"/>
      <c r="X441" s="10"/>
      <c r="Y441" s="10"/>
      <c r="Z441" s="10"/>
      <c r="AE441" s="10"/>
      <c r="AF441" s="10"/>
    </row>
    <row r="442" spans="18:32" ht="12.75" x14ac:dyDescent="0.2">
      <c r="R442" s="9"/>
      <c r="S442" s="9"/>
      <c r="X442" s="10"/>
      <c r="Y442" s="10"/>
      <c r="Z442" s="10"/>
      <c r="AE442" s="10"/>
      <c r="AF442" s="10"/>
    </row>
    <row r="443" spans="18:32" ht="12.75" x14ac:dyDescent="0.2">
      <c r="R443" s="9"/>
      <c r="S443" s="9"/>
      <c r="X443" s="10"/>
      <c r="Y443" s="10"/>
      <c r="Z443" s="10"/>
      <c r="AE443" s="10"/>
      <c r="AF443" s="10"/>
    </row>
    <row r="444" spans="18:32" ht="12.75" x14ac:dyDescent="0.2">
      <c r="R444" s="9"/>
      <c r="S444" s="9"/>
      <c r="X444" s="10"/>
      <c r="Y444" s="10"/>
      <c r="Z444" s="10"/>
      <c r="AE444" s="10"/>
      <c r="AF444" s="10"/>
    </row>
    <row r="445" spans="18:32" ht="12.75" x14ac:dyDescent="0.2">
      <c r="R445" s="9"/>
      <c r="S445" s="9"/>
      <c r="X445" s="10"/>
      <c r="Y445" s="10"/>
      <c r="Z445" s="10"/>
      <c r="AE445" s="10"/>
      <c r="AF445" s="10"/>
    </row>
    <row r="446" spans="18:32" ht="12.75" x14ac:dyDescent="0.2">
      <c r="R446" s="9"/>
      <c r="S446" s="9"/>
      <c r="X446" s="10"/>
      <c r="Y446" s="10"/>
      <c r="Z446" s="10"/>
      <c r="AE446" s="10"/>
      <c r="AF446" s="10"/>
    </row>
    <row r="447" spans="18:32" ht="12.75" x14ac:dyDescent="0.2">
      <c r="R447" s="9"/>
      <c r="S447" s="9"/>
      <c r="X447" s="10"/>
      <c r="Y447" s="10"/>
      <c r="Z447" s="10"/>
      <c r="AE447" s="10"/>
      <c r="AF447" s="10"/>
    </row>
    <row r="448" spans="18:32" ht="12.75" x14ac:dyDescent="0.2">
      <c r="R448" s="9"/>
      <c r="S448" s="9"/>
      <c r="X448" s="10"/>
      <c r="Y448" s="10"/>
      <c r="Z448" s="10"/>
      <c r="AE448" s="10"/>
      <c r="AF448" s="10"/>
    </row>
    <row r="449" spans="18:32" ht="12.75" x14ac:dyDescent="0.2">
      <c r="R449" s="9"/>
      <c r="S449" s="9"/>
      <c r="X449" s="10"/>
      <c r="Y449" s="10"/>
      <c r="Z449" s="10"/>
      <c r="AE449" s="10"/>
      <c r="AF449" s="10"/>
    </row>
    <row r="450" spans="18:32" ht="12.75" x14ac:dyDescent="0.2">
      <c r="R450" s="9"/>
      <c r="S450" s="9"/>
      <c r="X450" s="10"/>
      <c r="Y450" s="10"/>
      <c r="Z450" s="10"/>
      <c r="AE450" s="10"/>
      <c r="AF450" s="10"/>
    </row>
    <row r="451" spans="18:32" ht="12.75" x14ac:dyDescent="0.2">
      <c r="R451" s="9"/>
      <c r="S451" s="9"/>
      <c r="X451" s="10"/>
      <c r="Y451" s="10"/>
      <c r="Z451" s="10"/>
      <c r="AE451" s="10"/>
      <c r="AF451" s="10"/>
    </row>
    <row r="452" spans="18:32" ht="12.75" x14ac:dyDescent="0.2">
      <c r="R452" s="9"/>
      <c r="S452" s="9"/>
      <c r="X452" s="10"/>
      <c r="Y452" s="10"/>
      <c r="Z452" s="10"/>
      <c r="AE452" s="10"/>
      <c r="AF452" s="10"/>
    </row>
    <row r="453" spans="18:32" ht="12.75" x14ac:dyDescent="0.2">
      <c r="R453" s="9"/>
      <c r="S453" s="9"/>
      <c r="X453" s="10"/>
      <c r="Y453" s="10"/>
      <c r="Z453" s="10"/>
      <c r="AE453" s="10"/>
      <c r="AF453" s="10"/>
    </row>
    <row r="454" spans="18:32" ht="12.75" x14ac:dyDescent="0.2">
      <c r="R454" s="9"/>
      <c r="S454" s="9"/>
      <c r="X454" s="10"/>
      <c r="Y454" s="10"/>
      <c r="Z454" s="10"/>
      <c r="AE454" s="10"/>
      <c r="AF454" s="10"/>
    </row>
    <row r="455" spans="18:32" ht="12.75" x14ac:dyDescent="0.2">
      <c r="R455" s="9"/>
      <c r="S455" s="9"/>
      <c r="X455" s="10"/>
      <c r="Y455" s="10"/>
      <c r="Z455" s="10"/>
      <c r="AE455" s="10"/>
      <c r="AF455" s="10"/>
    </row>
    <row r="456" spans="18:32" ht="12.75" x14ac:dyDescent="0.2">
      <c r="R456" s="9"/>
      <c r="S456" s="9"/>
      <c r="X456" s="10"/>
      <c r="Y456" s="10"/>
      <c r="Z456" s="10"/>
      <c r="AE456" s="10"/>
      <c r="AF456" s="10"/>
    </row>
    <row r="457" spans="18:32" ht="12.75" x14ac:dyDescent="0.2">
      <c r="R457" s="9"/>
      <c r="S457" s="9"/>
      <c r="X457" s="10"/>
      <c r="Y457" s="10"/>
      <c r="Z457" s="10"/>
      <c r="AE457" s="10"/>
      <c r="AF457" s="10"/>
    </row>
    <row r="458" spans="18:32" ht="12.75" x14ac:dyDescent="0.2">
      <c r="R458" s="9"/>
      <c r="S458" s="9"/>
      <c r="X458" s="10"/>
      <c r="Y458" s="10"/>
      <c r="Z458" s="10"/>
      <c r="AE458" s="10"/>
      <c r="AF458" s="10"/>
    </row>
    <row r="459" spans="18:32" ht="12.75" x14ac:dyDescent="0.2">
      <c r="R459" s="9"/>
      <c r="S459" s="9"/>
      <c r="X459" s="10"/>
      <c r="Y459" s="10"/>
      <c r="Z459" s="10"/>
      <c r="AE459" s="10"/>
      <c r="AF459" s="10"/>
    </row>
    <row r="460" spans="18:32" ht="12.75" x14ac:dyDescent="0.2">
      <c r="R460" s="9"/>
      <c r="S460" s="9"/>
      <c r="X460" s="10"/>
      <c r="Y460" s="10"/>
      <c r="Z460" s="10"/>
      <c r="AE460" s="10"/>
      <c r="AF460" s="10"/>
    </row>
    <row r="461" spans="18:32" ht="12.75" x14ac:dyDescent="0.2">
      <c r="R461" s="9"/>
      <c r="S461" s="9"/>
      <c r="X461" s="10"/>
      <c r="Y461" s="10"/>
      <c r="Z461" s="10"/>
      <c r="AE461" s="10"/>
      <c r="AF461" s="10"/>
    </row>
    <row r="462" spans="18:32" ht="12.75" x14ac:dyDescent="0.2">
      <c r="R462" s="9"/>
      <c r="S462" s="9"/>
      <c r="X462" s="10"/>
      <c r="Y462" s="10"/>
      <c r="Z462" s="10"/>
      <c r="AE462" s="10"/>
      <c r="AF462" s="10"/>
    </row>
    <row r="463" spans="18:32" ht="12.75" x14ac:dyDescent="0.2">
      <c r="R463" s="9"/>
      <c r="S463" s="9"/>
      <c r="X463" s="10"/>
      <c r="Y463" s="10"/>
      <c r="Z463" s="10"/>
      <c r="AE463" s="10"/>
      <c r="AF463" s="10"/>
    </row>
    <row r="464" spans="18:32" ht="12.75" x14ac:dyDescent="0.2">
      <c r="R464" s="9"/>
      <c r="S464" s="9"/>
      <c r="X464" s="10"/>
      <c r="Y464" s="10"/>
      <c r="Z464" s="10"/>
      <c r="AE464" s="10"/>
      <c r="AF464" s="10"/>
    </row>
    <row r="465" spans="18:32" ht="12.75" x14ac:dyDescent="0.2">
      <c r="R465" s="9"/>
      <c r="S465" s="9"/>
      <c r="X465" s="10"/>
      <c r="Y465" s="10"/>
      <c r="Z465" s="10"/>
      <c r="AE465" s="10"/>
      <c r="AF465" s="10"/>
    </row>
    <row r="466" spans="18:32" ht="12.75" x14ac:dyDescent="0.2">
      <c r="R466" s="9"/>
      <c r="S466" s="9"/>
      <c r="X466" s="10"/>
      <c r="Y466" s="10"/>
      <c r="Z466" s="10"/>
      <c r="AE466" s="10"/>
      <c r="AF466" s="10"/>
    </row>
    <row r="467" spans="18:32" ht="12.75" x14ac:dyDescent="0.2">
      <c r="R467" s="9"/>
      <c r="S467" s="9"/>
      <c r="X467" s="10"/>
      <c r="Y467" s="10"/>
      <c r="Z467" s="10"/>
      <c r="AE467" s="10"/>
      <c r="AF467" s="10"/>
    </row>
    <row r="468" spans="18:32" ht="12.75" x14ac:dyDescent="0.2">
      <c r="R468" s="9"/>
      <c r="S468" s="9"/>
      <c r="X468" s="10"/>
      <c r="Y468" s="10"/>
      <c r="Z468" s="10"/>
      <c r="AE468" s="10"/>
      <c r="AF468" s="10"/>
    </row>
    <row r="469" spans="18:32" ht="12.75" x14ac:dyDescent="0.2">
      <c r="R469" s="9"/>
      <c r="S469" s="9"/>
      <c r="X469" s="10"/>
      <c r="Y469" s="10"/>
      <c r="Z469" s="10"/>
      <c r="AE469" s="10"/>
      <c r="AF469" s="10"/>
    </row>
    <row r="470" spans="18:32" ht="12.75" x14ac:dyDescent="0.2">
      <c r="R470" s="9"/>
      <c r="S470" s="9"/>
      <c r="X470" s="10"/>
      <c r="Y470" s="10"/>
      <c r="Z470" s="10"/>
      <c r="AE470" s="10"/>
      <c r="AF470" s="10"/>
    </row>
    <row r="471" spans="18:32" ht="12.75" x14ac:dyDescent="0.2">
      <c r="R471" s="9"/>
      <c r="S471" s="9"/>
      <c r="X471" s="10"/>
      <c r="Y471" s="10"/>
      <c r="Z471" s="10"/>
      <c r="AE471" s="10"/>
      <c r="AF471" s="10"/>
    </row>
    <row r="472" spans="18:32" ht="12.75" x14ac:dyDescent="0.2">
      <c r="R472" s="9"/>
      <c r="S472" s="9"/>
      <c r="X472" s="10"/>
      <c r="Y472" s="10"/>
      <c r="Z472" s="10"/>
      <c r="AE472" s="10"/>
      <c r="AF472" s="10"/>
    </row>
    <row r="473" spans="18:32" ht="12.75" x14ac:dyDescent="0.2">
      <c r="R473" s="9"/>
      <c r="S473" s="9"/>
      <c r="X473" s="10"/>
      <c r="Y473" s="10"/>
      <c r="Z473" s="10"/>
      <c r="AE473" s="10"/>
      <c r="AF473" s="10"/>
    </row>
    <row r="474" spans="18:32" ht="12.75" x14ac:dyDescent="0.2">
      <c r="R474" s="9"/>
      <c r="S474" s="9"/>
      <c r="X474" s="10"/>
      <c r="Y474" s="10"/>
      <c r="Z474" s="10"/>
      <c r="AE474" s="10"/>
      <c r="AF474" s="10"/>
    </row>
    <row r="475" spans="18:32" ht="12.75" x14ac:dyDescent="0.2">
      <c r="R475" s="9"/>
      <c r="S475" s="9"/>
      <c r="X475" s="10"/>
      <c r="Y475" s="10"/>
      <c r="Z475" s="10"/>
      <c r="AE475" s="10"/>
      <c r="AF475" s="10"/>
    </row>
    <row r="476" spans="18:32" ht="12.75" x14ac:dyDescent="0.2">
      <c r="R476" s="9"/>
      <c r="S476" s="9"/>
      <c r="X476" s="10"/>
      <c r="Y476" s="10"/>
      <c r="Z476" s="10"/>
      <c r="AE476" s="10"/>
      <c r="AF476" s="10"/>
    </row>
    <row r="477" spans="18:32" ht="12.75" x14ac:dyDescent="0.2">
      <c r="R477" s="9"/>
      <c r="S477" s="9"/>
      <c r="X477" s="10"/>
      <c r="Y477" s="10"/>
      <c r="Z477" s="10"/>
      <c r="AE477" s="10"/>
      <c r="AF477" s="10"/>
    </row>
    <row r="478" spans="18:32" ht="12.75" x14ac:dyDescent="0.2">
      <c r="R478" s="9"/>
      <c r="S478" s="9"/>
      <c r="X478" s="10"/>
      <c r="Y478" s="10"/>
      <c r="Z478" s="10"/>
      <c r="AE478" s="10"/>
      <c r="AF478" s="10"/>
    </row>
    <row r="479" spans="18:32" ht="12.75" x14ac:dyDescent="0.2">
      <c r="R479" s="9"/>
      <c r="S479" s="9"/>
      <c r="X479" s="10"/>
      <c r="Y479" s="10"/>
      <c r="Z479" s="10"/>
      <c r="AE479" s="10"/>
      <c r="AF479" s="10"/>
    </row>
    <row r="480" spans="18:32" ht="12.75" x14ac:dyDescent="0.2">
      <c r="R480" s="9"/>
      <c r="S480" s="9"/>
      <c r="X480" s="10"/>
      <c r="Y480" s="10"/>
      <c r="Z480" s="10"/>
      <c r="AE480" s="10"/>
      <c r="AF480" s="10"/>
    </row>
    <row r="481" spans="18:32" ht="12.75" x14ac:dyDescent="0.2">
      <c r="R481" s="9"/>
      <c r="S481" s="9"/>
      <c r="X481" s="10"/>
      <c r="Y481" s="10"/>
      <c r="Z481" s="10"/>
      <c r="AE481" s="10"/>
      <c r="AF481" s="10"/>
    </row>
    <row r="482" spans="18:32" ht="12.75" x14ac:dyDescent="0.2">
      <c r="R482" s="9"/>
      <c r="S482" s="9"/>
      <c r="X482" s="10"/>
      <c r="Y482" s="10"/>
      <c r="Z482" s="10"/>
      <c r="AE482" s="10"/>
      <c r="AF482" s="10"/>
    </row>
    <row r="483" spans="18:32" ht="12.75" x14ac:dyDescent="0.2">
      <c r="R483" s="9"/>
      <c r="S483" s="9"/>
      <c r="X483" s="10"/>
      <c r="Y483" s="10"/>
      <c r="Z483" s="10"/>
      <c r="AE483" s="10"/>
      <c r="AF483" s="10"/>
    </row>
    <row r="484" spans="18:32" ht="12.75" x14ac:dyDescent="0.2">
      <c r="R484" s="9"/>
      <c r="S484" s="9"/>
      <c r="X484" s="10"/>
      <c r="Y484" s="10"/>
      <c r="Z484" s="10"/>
      <c r="AE484" s="10"/>
      <c r="AF484" s="10"/>
    </row>
    <row r="485" spans="18:32" ht="12.75" x14ac:dyDescent="0.2">
      <c r="R485" s="9"/>
      <c r="S485" s="9"/>
      <c r="X485" s="10"/>
      <c r="Y485" s="10"/>
      <c r="Z485" s="10"/>
      <c r="AE485" s="10"/>
      <c r="AF485" s="10"/>
    </row>
    <row r="486" spans="18:32" ht="12.75" x14ac:dyDescent="0.2">
      <c r="R486" s="9"/>
      <c r="S486" s="9"/>
      <c r="X486" s="10"/>
      <c r="Y486" s="10"/>
      <c r="Z486" s="10"/>
      <c r="AE486" s="10"/>
      <c r="AF486" s="10"/>
    </row>
    <row r="487" spans="18:32" ht="12.75" x14ac:dyDescent="0.2">
      <c r="R487" s="9"/>
      <c r="S487" s="9"/>
      <c r="X487" s="10"/>
      <c r="Y487" s="10"/>
      <c r="Z487" s="10"/>
      <c r="AE487" s="10"/>
      <c r="AF487" s="10"/>
    </row>
    <row r="488" spans="18:32" ht="12.75" x14ac:dyDescent="0.2">
      <c r="R488" s="9"/>
      <c r="S488" s="9"/>
      <c r="X488" s="10"/>
      <c r="Y488" s="10"/>
      <c r="Z488" s="10"/>
      <c r="AE488" s="10"/>
      <c r="AF488" s="10"/>
    </row>
    <row r="489" spans="18:32" ht="12.75" x14ac:dyDescent="0.2">
      <c r="R489" s="9"/>
      <c r="S489" s="9"/>
      <c r="X489" s="10"/>
      <c r="Y489" s="10"/>
      <c r="Z489" s="10"/>
      <c r="AE489" s="10"/>
      <c r="AF489" s="10"/>
    </row>
    <row r="490" spans="18:32" ht="12.75" x14ac:dyDescent="0.2">
      <c r="R490" s="9"/>
      <c r="S490" s="9"/>
      <c r="X490" s="10"/>
      <c r="Y490" s="10"/>
      <c r="Z490" s="10"/>
      <c r="AE490" s="10"/>
      <c r="AF490" s="10"/>
    </row>
    <row r="491" spans="18:32" ht="12.75" x14ac:dyDescent="0.2">
      <c r="R491" s="9"/>
      <c r="S491" s="9"/>
      <c r="X491" s="10"/>
      <c r="Y491" s="10"/>
      <c r="Z491" s="10"/>
      <c r="AE491" s="10"/>
      <c r="AF491" s="10"/>
    </row>
    <row r="492" spans="18:32" ht="12.75" x14ac:dyDescent="0.2">
      <c r="R492" s="9"/>
      <c r="S492" s="9"/>
      <c r="X492" s="10"/>
      <c r="Y492" s="10"/>
      <c r="Z492" s="10"/>
      <c r="AE492" s="10"/>
      <c r="AF492" s="10"/>
    </row>
    <row r="493" spans="18:32" ht="12.75" x14ac:dyDescent="0.2">
      <c r="R493" s="9"/>
      <c r="S493" s="9"/>
      <c r="X493" s="10"/>
      <c r="Y493" s="10"/>
      <c r="Z493" s="10"/>
      <c r="AE493" s="10"/>
      <c r="AF493" s="10"/>
    </row>
    <row r="494" spans="18:32" ht="12.75" x14ac:dyDescent="0.2">
      <c r="R494" s="9"/>
      <c r="S494" s="9"/>
      <c r="X494" s="10"/>
      <c r="Y494" s="10"/>
      <c r="Z494" s="10"/>
      <c r="AE494" s="10"/>
      <c r="AF494" s="10"/>
    </row>
    <row r="495" spans="18:32" ht="12.75" x14ac:dyDescent="0.2">
      <c r="R495" s="9"/>
      <c r="S495" s="9"/>
      <c r="X495" s="10"/>
      <c r="Y495" s="10"/>
      <c r="Z495" s="10"/>
      <c r="AE495" s="10"/>
      <c r="AF495" s="10"/>
    </row>
    <row r="496" spans="18:32" ht="12.75" x14ac:dyDescent="0.2">
      <c r="R496" s="9"/>
      <c r="S496" s="9"/>
      <c r="X496" s="10"/>
      <c r="Y496" s="10"/>
      <c r="Z496" s="10"/>
      <c r="AE496" s="10"/>
      <c r="AF496" s="10"/>
    </row>
    <row r="497" spans="18:32" ht="12.75" x14ac:dyDescent="0.2">
      <c r="R497" s="9"/>
      <c r="S497" s="9"/>
      <c r="X497" s="10"/>
      <c r="Y497" s="10"/>
      <c r="Z497" s="10"/>
      <c r="AE497" s="10"/>
      <c r="AF497" s="10"/>
    </row>
    <row r="498" spans="18:32" ht="12.75" x14ac:dyDescent="0.2">
      <c r="R498" s="9"/>
      <c r="S498" s="9"/>
      <c r="X498" s="10"/>
      <c r="Y498" s="10"/>
      <c r="Z498" s="10"/>
      <c r="AE498" s="10"/>
      <c r="AF498" s="10"/>
    </row>
    <row r="499" spans="18:32" ht="12.75" x14ac:dyDescent="0.2">
      <c r="R499" s="9"/>
      <c r="S499" s="9"/>
      <c r="X499" s="10"/>
      <c r="Y499" s="10"/>
      <c r="Z499" s="10"/>
      <c r="AE499" s="10"/>
      <c r="AF499" s="10"/>
    </row>
    <row r="500" spans="18:32" ht="12.75" x14ac:dyDescent="0.2">
      <c r="R500" s="9"/>
      <c r="S500" s="9"/>
      <c r="X500" s="10"/>
      <c r="Y500" s="10"/>
      <c r="Z500" s="10"/>
      <c r="AE500" s="10"/>
      <c r="AF500" s="10"/>
    </row>
    <row r="501" spans="18:32" ht="12.75" x14ac:dyDescent="0.2">
      <c r="R501" s="9"/>
      <c r="S501" s="9"/>
      <c r="X501" s="10"/>
      <c r="Y501" s="10"/>
      <c r="Z501" s="10"/>
      <c r="AE501" s="10"/>
      <c r="AF501" s="10"/>
    </row>
    <row r="502" spans="18:32" ht="12.75" x14ac:dyDescent="0.2">
      <c r="R502" s="9"/>
      <c r="S502" s="9"/>
      <c r="X502" s="10"/>
      <c r="Y502" s="10"/>
      <c r="Z502" s="10"/>
      <c r="AE502" s="10"/>
      <c r="AF502" s="10"/>
    </row>
    <row r="503" spans="18:32" ht="12.75" x14ac:dyDescent="0.2">
      <c r="R503" s="9"/>
      <c r="S503" s="9"/>
      <c r="X503" s="10"/>
      <c r="Y503" s="10"/>
      <c r="Z503" s="10"/>
      <c r="AE503" s="10"/>
      <c r="AF503" s="10"/>
    </row>
    <row r="504" spans="18:32" ht="12.75" x14ac:dyDescent="0.2">
      <c r="R504" s="9"/>
      <c r="S504" s="9"/>
      <c r="X504" s="10"/>
      <c r="Y504" s="10"/>
      <c r="Z504" s="10"/>
      <c r="AE504" s="10"/>
      <c r="AF504" s="10"/>
    </row>
    <row r="505" spans="18:32" ht="12.75" x14ac:dyDescent="0.2">
      <c r="R505" s="9"/>
      <c r="S505" s="9"/>
      <c r="X505" s="10"/>
      <c r="Y505" s="10"/>
      <c r="Z505" s="10"/>
      <c r="AE505" s="10"/>
      <c r="AF505" s="10"/>
    </row>
    <row r="506" spans="18:32" ht="12.75" x14ac:dyDescent="0.2">
      <c r="R506" s="9"/>
      <c r="S506" s="9"/>
      <c r="X506" s="10"/>
      <c r="Y506" s="10"/>
      <c r="Z506" s="10"/>
      <c r="AE506" s="10"/>
      <c r="AF506" s="10"/>
    </row>
    <row r="507" spans="18:32" ht="12.75" x14ac:dyDescent="0.2">
      <c r="R507" s="9"/>
      <c r="S507" s="9"/>
      <c r="X507" s="10"/>
      <c r="Y507" s="10"/>
      <c r="Z507" s="10"/>
      <c r="AE507" s="10"/>
      <c r="AF507" s="10"/>
    </row>
    <row r="508" spans="18:32" ht="12.75" x14ac:dyDescent="0.2">
      <c r="R508" s="9"/>
      <c r="S508" s="9"/>
      <c r="X508" s="10"/>
      <c r="Y508" s="10"/>
      <c r="Z508" s="10"/>
      <c r="AE508" s="10"/>
      <c r="AF508" s="10"/>
    </row>
    <row r="509" spans="18:32" ht="12.75" x14ac:dyDescent="0.2">
      <c r="R509" s="9"/>
      <c r="S509" s="9"/>
      <c r="X509" s="10"/>
      <c r="Y509" s="10"/>
      <c r="Z509" s="10"/>
      <c r="AE509" s="10"/>
      <c r="AF509" s="10"/>
    </row>
    <row r="510" spans="18:32" ht="12.75" x14ac:dyDescent="0.2">
      <c r="R510" s="9"/>
      <c r="S510" s="9"/>
      <c r="X510" s="10"/>
      <c r="Y510" s="10"/>
      <c r="Z510" s="10"/>
      <c r="AE510" s="10"/>
      <c r="AF510" s="10"/>
    </row>
    <row r="511" spans="18:32" ht="12.75" x14ac:dyDescent="0.2">
      <c r="R511" s="9"/>
      <c r="S511" s="9"/>
      <c r="X511" s="10"/>
      <c r="Y511" s="10"/>
      <c r="Z511" s="10"/>
      <c r="AE511" s="10"/>
      <c r="AF511" s="10"/>
    </row>
    <row r="512" spans="18:32" ht="12.75" x14ac:dyDescent="0.2">
      <c r="R512" s="9"/>
      <c r="S512" s="9"/>
      <c r="X512" s="10"/>
      <c r="Y512" s="10"/>
      <c r="Z512" s="10"/>
      <c r="AE512" s="10"/>
      <c r="AF512" s="10"/>
    </row>
    <row r="513" spans="18:32" ht="12.75" x14ac:dyDescent="0.2">
      <c r="R513" s="9"/>
      <c r="S513" s="9"/>
      <c r="X513" s="10"/>
      <c r="Y513" s="10"/>
      <c r="Z513" s="10"/>
      <c r="AE513" s="10"/>
      <c r="AF513" s="10"/>
    </row>
    <row r="514" spans="18:32" ht="12.75" x14ac:dyDescent="0.2">
      <c r="R514" s="9"/>
      <c r="S514" s="9"/>
      <c r="X514" s="10"/>
      <c r="Y514" s="10"/>
      <c r="Z514" s="10"/>
      <c r="AE514" s="10"/>
      <c r="AF514" s="10"/>
    </row>
    <row r="515" spans="18:32" ht="12.75" x14ac:dyDescent="0.2">
      <c r="R515" s="9"/>
      <c r="S515" s="9"/>
      <c r="X515" s="10"/>
      <c r="Y515" s="10"/>
      <c r="Z515" s="10"/>
      <c r="AE515" s="10"/>
      <c r="AF515" s="10"/>
    </row>
    <row r="516" spans="18:32" ht="12.75" x14ac:dyDescent="0.2">
      <c r="R516" s="9"/>
      <c r="S516" s="9"/>
      <c r="X516" s="10"/>
      <c r="Y516" s="10"/>
      <c r="Z516" s="10"/>
      <c r="AE516" s="10"/>
      <c r="AF516" s="10"/>
    </row>
    <row r="517" spans="18:32" ht="12.75" x14ac:dyDescent="0.2">
      <c r="R517" s="9"/>
      <c r="S517" s="9"/>
      <c r="X517" s="10"/>
      <c r="Y517" s="10"/>
      <c r="Z517" s="10"/>
      <c r="AE517" s="10"/>
      <c r="AF517" s="10"/>
    </row>
    <row r="518" spans="18:32" ht="12.75" x14ac:dyDescent="0.2">
      <c r="R518" s="9"/>
      <c r="S518" s="9"/>
      <c r="X518" s="10"/>
      <c r="Y518" s="10"/>
      <c r="Z518" s="10"/>
      <c r="AE518" s="10"/>
      <c r="AF518" s="10"/>
    </row>
    <row r="519" spans="18:32" ht="12.75" x14ac:dyDescent="0.2">
      <c r="R519" s="9"/>
      <c r="S519" s="9"/>
      <c r="X519" s="10"/>
      <c r="Y519" s="10"/>
      <c r="Z519" s="10"/>
      <c r="AE519" s="10"/>
      <c r="AF519" s="10"/>
    </row>
    <row r="520" spans="18:32" ht="12.75" x14ac:dyDescent="0.2">
      <c r="R520" s="9"/>
      <c r="S520" s="9"/>
      <c r="X520" s="10"/>
      <c r="Y520" s="10"/>
      <c r="Z520" s="10"/>
      <c r="AE520" s="10"/>
      <c r="AF520" s="10"/>
    </row>
    <row r="521" spans="18:32" ht="12.75" x14ac:dyDescent="0.2">
      <c r="R521" s="9"/>
      <c r="S521" s="9"/>
      <c r="X521" s="10"/>
      <c r="Y521" s="10"/>
      <c r="Z521" s="10"/>
      <c r="AE521" s="10"/>
      <c r="AF521" s="10"/>
    </row>
    <row r="522" spans="18:32" ht="12.75" x14ac:dyDescent="0.2">
      <c r="R522" s="9"/>
      <c r="S522" s="9"/>
      <c r="X522" s="10"/>
      <c r="Y522" s="10"/>
      <c r="Z522" s="10"/>
      <c r="AE522" s="10"/>
      <c r="AF522" s="10"/>
    </row>
    <row r="523" spans="18:32" ht="12.75" x14ac:dyDescent="0.2">
      <c r="R523" s="9"/>
      <c r="S523" s="9"/>
      <c r="X523" s="10"/>
      <c r="Y523" s="10"/>
      <c r="Z523" s="10"/>
      <c r="AE523" s="10"/>
      <c r="AF523" s="10"/>
    </row>
    <row r="524" spans="18:32" ht="12.75" x14ac:dyDescent="0.2">
      <c r="R524" s="9"/>
      <c r="S524" s="9"/>
      <c r="X524" s="10"/>
      <c r="Y524" s="10"/>
      <c r="Z524" s="10"/>
      <c r="AE524" s="10"/>
      <c r="AF524" s="10"/>
    </row>
    <row r="525" spans="18:32" ht="12.75" x14ac:dyDescent="0.2">
      <c r="R525" s="9"/>
      <c r="S525" s="9"/>
      <c r="X525" s="10"/>
      <c r="Y525" s="10"/>
      <c r="Z525" s="10"/>
      <c r="AE525" s="10"/>
      <c r="AF525" s="10"/>
    </row>
    <row r="526" spans="18:32" ht="12.75" x14ac:dyDescent="0.2">
      <c r="R526" s="9"/>
      <c r="S526" s="9"/>
      <c r="X526" s="10"/>
      <c r="Y526" s="10"/>
      <c r="Z526" s="10"/>
      <c r="AE526" s="10"/>
      <c r="AF526" s="10"/>
    </row>
    <row r="527" spans="18:32" ht="12.75" x14ac:dyDescent="0.2">
      <c r="R527" s="9"/>
      <c r="S527" s="9"/>
      <c r="X527" s="10"/>
      <c r="Y527" s="10"/>
      <c r="Z527" s="10"/>
      <c r="AE527" s="10"/>
      <c r="AF527" s="10"/>
    </row>
    <row r="528" spans="18:32" ht="12.75" x14ac:dyDescent="0.2">
      <c r="R528" s="9"/>
      <c r="S528" s="9"/>
      <c r="X528" s="10"/>
      <c r="Y528" s="10"/>
      <c r="Z528" s="10"/>
      <c r="AE528" s="10"/>
      <c r="AF528" s="10"/>
    </row>
    <row r="529" spans="18:32" ht="12.75" x14ac:dyDescent="0.2">
      <c r="R529" s="9"/>
      <c r="S529" s="9"/>
      <c r="X529" s="10"/>
      <c r="Y529" s="10"/>
      <c r="Z529" s="10"/>
      <c r="AE529" s="10"/>
      <c r="AF529" s="10"/>
    </row>
    <row r="530" spans="18:32" ht="12.75" x14ac:dyDescent="0.2">
      <c r="R530" s="9"/>
      <c r="S530" s="9"/>
      <c r="X530" s="10"/>
      <c r="Y530" s="10"/>
      <c r="Z530" s="10"/>
      <c r="AE530" s="10"/>
      <c r="AF530" s="10"/>
    </row>
    <row r="531" spans="18:32" ht="12.75" x14ac:dyDescent="0.2">
      <c r="R531" s="9"/>
      <c r="S531" s="9"/>
      <c r="X531" s="10"/>
      <c r="Y531" s="10"/>
      <c r="Z531" s="10"/>
      <c r="AE531" s="10"/>
      <c r="AF531" s="10"/>
    </row>
    <row r="532" spans="18:32" ht="12.75" x14ac:dyDescent="0.2">
      <c r="R532" s="9"/>
      <c r="S532" s="9"/>
      <c r="X532" s="10"/>
      <c r="Y532" s="10"/>
      <c r="Z532" s="10"/>
      <c r="AE532" s="10"/>
      <c r="AF532" s="10"/>
    </row>
    <row r="533" spans="18:32" ht="12.75" x14ac:dyDescent="0.2">
      <c r="R533" s="9"/>
      <c r="S533" s="9"/>
      <c r="X533" s="10"/>
      <c r="Y533" s="10"/>
      <c r="Z533" s="10"/>
      <c r="AE533" s="10"/>
      <c r="AF533" s="10"/>
    </row>
    <row r="534" spans="18:32" ht="12.75" x14ac:dyDescent="0.2">
      <c r="R534" s="9"/>
      <c r="S534" s="9"/>
      <c r="X534" s="10"/>
      <c r="Y534" s="10"/>
      <c r="Z534" s="10"/>
      <c r="AE534" s="10"/>
      <c r="AF534" s="10"/>
    </row>
    <row r="535" spans="18:32" ht="12.75" x14ac:dyDescent="0.2">
      <c r="R535" s="9"/>
      <c r="S535" s="9"/>
      <c r="X535" s="10"/>
      <c r="Y535" s="10"/>
      <c r="Z535" s="10"/>
      <c r="AE535" s="10"/>
      <c r="AF535" s="10"/>
    </row>
    <row r="536" spans="18:32" ht="12.75" x14ac:dyDescent="0.2">
      <c r="R536" s="9"/>
      <c r="S536" s="9"/>
      <c r="X536" s="10"/>
      <c r="Y536" s="10"/>
      <c r="Z536" s="10"/>
      <c r="AE536" s="10"/>
      <c r="AF536" s="10"/>
    </row>
    <row r="537" spans="18:32" ht="12.75" x14ac:dyDescent="0.2">
      <c r="R537" s="9"/>
      <c r="S537" s="9"/>
      <c r="X537" s="10"/>
      <c r="Y537" s="10"/>
      <c r="Z537" s="10"/>
      <c r="AE537" s="10"/>
      <c r="AF537" s="10"/>
    </row>
    <row r="538" spans="18:32" ht="12.75" x14ac:dyDescent="0.2">
      <c r="R538" s="9"/>
      <c r="S538" s="9"/>
      <c r="X538" s="10"/>
      <c r="Y538" s="10"/>
      <c r="Z538" s="10"/>
      <c r="AE538" s="10"/>
      <c r="AF538" s="10"/>
    </row>
    <row r="539" spans="18:32" ht="12.75" x14ac:dyDescent="0.2">
      <c r="R539" s="9"/>
      <c r="S539" s="9"/>
      <c r="X539" s="10"/>
      <c r="Y539" s="10"/>
      <c r="Z539" s="10"/>
      <c r="AE539" s="10"/>
      <c r="AF539" s="10"/>
    </row>
    <row r="540" spans="18:32" ht="12.75" x14ac:dyDescent="0.2">
      <c r="R540" s="9"/>
      <c r="S540" s="9"/>
      <c r="X540" s="10"/>
      <c r="Y540" s="10"/>
      <c r="Z540" s="10"/>
      <c r="AE540" s="10"/>
      <c r="AF540" s="10"/>
    </row>
    <row r="541" spans="18:32" ht="12.75" x14ac:dyDescent="0.2">
      <c r="R541" s="9"/>
      <c r="S541" s="9"/>
      <c r="X541" s="10"/>
      <c r="Y541" s="10"/>
      <c r="Z541" s="10"/>
      <c r="AE541" s="10"/>
      <c r="AF541" s="10"/>
    </row>
    <row r="542" spans="18:32" ht="12.75" x14ac:dyDescent="0.2">
      <c r="R542" s="9"/>
      <c r="S542" s="9"/>
      <c r="X542" s="10"/>
      <c r="Y542" s="10"/>
      <c r="Z542" s="10"/>
      <c r="AE542" s="10"/>
      <c r="AF542" s="10"/>
    </row>
    <row r="543" spans="18:32" ht="12.75" x14ac:dyDescent="0.2">
      <c r="R543" s="9"/>
      <c r="S543" s="9"/>
      <c r="X543" s="10"/>
      <c r="Y543" s="10"/>
      <c r="Z543" s="10"/>
      <c r="AE543" s="10"/>
      <c r="AF543" s="10"/>
    </row>
    <row r="544" spans="18:32" ht="12.75" x14ac:dyDescent="0.2">
      <c r="R544" s="9"/>
      <c r="S544" s="9"/>
      <c r="X544" s="10"/>
      <c r="Y544" s="10"/>
      <c r="Z544" s="10"/>
      <c r="AE544" s="10"/>
      <c r="AF544" s="10"/>
    </row>
    <row r="545" spans="18:32" ht="12.75" x14ac:dyDescent="0.2">
      <c r="R545" s="9"/>
      <c r="S545" s="9"/>
      <c r="X545" s="10"/>
      <c r="Y545" s="10"/>
      <c r="Z545" s="10"/>
      <c r="AE545" s="10"/>
      <c r="AF545" s="10"/>
    </row>
    <row r="546" spans="18:32" ht="12.75" x14ac:dyDescent="0.2">
      <c r="R546" s="9"/>
      <c r="S546" s="9"/>
      <c r="X546" s="10"/>
      <c r="Y546" s="10"/>
      <c r="Z546" s="10"/>
      <c r="AE546" s="10"/>
      <c r="AF546" s="10"/>
    </row>
    <row r="547" spans="18:32" ht="12.75" x14ac:dyDescent="0.2">
      <c r="R547" s="9"/>
      <c r="S547" s="9"/>
      <c r="X547" s="10"/>
      <c r="Y547" s="10"/>
      <c r="Z547" s="10"/>
      <c r="AE547" s="10"/>
      <c r="AF547" s="10"/>
    </row>
    <row r="548" spans="18:32" ht="12.75" x14ac:dyDescent="0.2">
      <c r="R548" s="9"/>
      <c r="S548" s="9"/>
      <c r="X548" s="10"/>
      <c r="Y548" s="10"/>
      <c r="Z548" s="10"/>
      <c r="AE548" s="10"/>
      <c r="AF548" s="10"/>
    </row>
    <row r="549" spans="18:32" ht="12.75" x14ac:dyDescent="0.2">
      <c r="R549" s="9"/>
      <c r="S549" s="9"/>
      <c r="X549" s="10"/>
      <c r="Y549" s="10"/>
      <c r="Z549" s="10"/>
      <c r="AE549" s="10"/>
      <c r="AF549" s="10"/>
    </row>
    <row r="550" spans="18:32" ht="12.75" x14ac:dyDescent="0.2">
      <c r="R550" s="9"/>
      <c r="S550" s="9"/>
      <c r="X550" s="10"/>
      <c r="Y550" s="10"/>
      <c r="Z550" s="10"/>
      <c r="AE550" s="10"/>
      <c r="AF550" s="10"/>
    </row>
    <row r="551" spans="18:32" ht="12.75" x14ac:dyDescent="0.2">
      <c r="R551" s="9"/>
      <c r="S551" s="9"/>
      <c r="X551" s="10"/>
      <c r="Y551" s="10"/>
      <c r="Z551" s="10"/>
      <c r="AE551" s="10"/>
      <c r="AF551" s="10"/>
    </row>
    <row r="552" spans="18:32" ht="12.75" x14ac:dyDescent="0.2">
      <c r="R552" s="9"/>
      <c r="S552" s="9"/>
      <c r="X552" s="10"/>
      <c r="Y552" s="10"/>
      <c r="Z552" s="10"/>
      <c r="AE552" s="10"/>
      <c r="AF552" s="10"/>
    </row>
    <row r="553" spans="18:32" ht="12.75" x14ac:dyDescent="0.2">
      <c r="R553" s="9"/>
      <c r="S553" s="9"/>
      <c r="X553" s="10"/>
      <c r="Y553" s="10"/>
      <c r="Z553" s="10"/>
      <c r="AE553" s="10"/>
      <c r="AF553" s="10"/>
    </row>
    <row r="554" spans="18:32" ht="12.75" x14ac:dyDescent="0.2">
      <c r="R554" s="9"/>
      <c r="S554" s="9"/>
      <c r="X554" s="10"/>
      <c r="Y554" s="10"/>
      <c r="Z554" s="10"/>
      <c r="AE554" s="10"/>
      <c r="AF554" s="10"/>
    </row>
    <row r="555" spans="18:32" ht="12.75" x14ac:dyDescent="0.2">
      <c r="R555" s="9"/>
      <c r="S555" s="9"/>
      <c r="X555" s="10"/>
      <c r="Y555" s="10"/>
      <c r="Z555" s="10"/>
      <c r="AE555" s="10"/>
      <c r="AF555" s="10"/>
    </row>
    <row r="556" spans="18:32" ht="12.75" x14ac:dyDescent="0.2">
      <c r="R556" s="9"/>
      <c r="S556" s="9"/>
      <c r="X556" s="10"/>
      <c r="Y556" s="10"/>
      <c r="Z556" s="10"/>
      <c r="AE556" s="10"/>
      <c r="AF556" s="10"/>
    </row>
    <row r="557" spans="18:32" ht="12.75" x14ac:dyDescent="0.2">
      <c r="R557" s="9"/>
      <c r="S557" s="9"/>
      <c r="X557" s="10"/>
      <c r="Y557" s="10"/>
      <c r="Z557" s="10"/>
      <c r="AE557" s="10"/>
      <c r="AF557" s="10"/>
    </row>
    <row r="558" spans="18:32" ht="12.75" x14ac:dyDescent="0.2">
      <c r="R558" s="9"/>
      <c r="S558" s="9"/>
      <c r="X558" s="10"/>
      <c r="Y558" s="10"/>
      <c r="Z558" s="10"/>
      <c r="AE558" s="10"/>
      <c r="AF558" s="10"/>
    </row>
    <row r="559" spans="18:32" ht="12.75" x14ac:dyDescent="0.2">
      <c r="R559" s="9"/>
      <c r="S559" s="9"/>
      <c r="X559" s="10"/>
      <c r="Y559" s="10"/>
      <c r="Z559" s="10"/>
      <c r="AE559" s="10"/>
      <c r="AF559" s="10"/>
    </row>
    <row r="560" spans="18:32" ht="12.75" x14ac:dyDescent="0.2">
      <c r="R560" s="9"/>
      <c r="S560" s="9"/>
      <c r="X560" s="10"/>
      <c r="Y560" s="10"/>
      <c r="Z560" s="10"/>
      <c r="AE560" s="10"/>
      <c r="AF560" s="10"/>
    </row>
    <row r="561" spans="18:32" ht="12.75" x14ac:dyDescent="0.2">
      <c r="R561" s="9"/>
      <c r="S561" s="9"/>
      <c r="X561" s="10"/>
      <c r="Y561" s="10"/>
      <c r="Z561" s="10"/>
      <c r="AE561" s="10"/>
      <c r="AF561" s="10"/>
    </row>
    <row r="562" spans="18:32" ht="12.75" x14ac:dyDescent="0.2">
      <c r="R562" s="9"/>
      <c r="S562" s="9"/>
      <c r="X562" s="10"/>
      <c r="Y562" s="10"/>
      <c r="Z562" s="10"/>
      <c r="AE562" s="10"/>
      <c r="AF562" s="10"/>
    </row>
    <row r="563" spans="18:32" ht="12.75" x14ac:dyDescent="0.2">
      <c r="R563" s="9"/>
      <c r="S563" s="9"/>
      <c r="X563" s="10"/>
      <c r="Y563" s="10"/>
      <c r="Z563" s="10"/>
      <c r="AE563" s="10"/>
      <c r="AF563" s="10"/>
    </row>
    <row r="564" spans="18:32" ht="12.75" x14ac:dyDescent="0.2">
      <c r="R564" s="9"/>
      <c r="S564" s="9"/>
      <c r="X564" s="10"/>
      <c r="Y564" s="10"/>
      <c r="Z564" s="10"/>
      <c r="AE564" s="10"/>
      <c r="AF564" s="10"/>
    </row>
    <row r="565" spans="18:32" ht="12.75" x14ac:dyDescent="0.2">
      <c r="R565" s="9"/>
      <c r="S565" s="9"/>
      <c r="X565" s="10"/>
      <c r="Y565" s="10"/>
      <c r="Z565" s="10"/>
      <c r="AE565" s="10"/>
      <c r="AF565" s="10"/>
    </row>
    <row r="566" spans="18:32" ht="12.75" x14ac:dyDescent="0.2">
      <c r="R566" s="9"/>
      <c r="S566" s="9"/>
      <c r="X566" s="10"/>
      <c r="Y566" s="10"/>
      <c r="Z566" s="10"/>
      <c r="AE566" s="10"/>
      <c r="AF566" s="10"/>
    </row>
    <row r="567" spans="18:32" ht="12.75" x14ac:dyDescent="0.2">
      <c r="R567" s="9"/>
      <c r="S567" s="9"/>
      <c r="X567" s="10"/>
      <c r="Y567" s="10"/>
      <c r="Z567" s="10"/>
      <c r="AE567" s="10"/>
      <c r="AF567" s="10"/>
    </row>
    <row r="568" spans="18:32" ht="12.75" x14ac:dyDescent="0.2">
      <c r="R568" s="9"/>
      <c r="S568" s="9"/>
      <c r="X568" s="10"/>
      <c r="Y568" s="10"/>
      <c r="Z568" s="10"/>
      <c r="AE568" s="10"/>
      <c r="AF568" s="10"/>
    </row>
    <row r="569" spans="18:32" ht="12.75" x14ac:dyDescent="0.2">
      <c r="R569" s="9"/>
      <c r="S569" s="9"/>
      <c r="X569" s="10"/>
      <c r="Y569" s="10"/>
      <c r="Z569" s="10"/>
      <c r="AE569" s="10"/>
      <c r="AF569" s="10"/>
    </row>
    <row r="570" spans="18:32" ht="12.75" x14ac:dyDescent="0.2">
      <c r="R570" s="9"/>
      <c r="S570" s="9"/>
      <c r="X570" s="10"/>
      <c r="Y570" s="10"/>
      <c r="Z570" s="10"/>
      <c r="AE570" s="10"/>
      <c r="AF570" s="10"/>
    </row>
    <row r="571" spans="18:32" ht="12.75" x14ac:dyDescent="0.2">
      <c r="R571" s="9"/>
      <c r="S571" s="9"/>
      <c r="X571" s="10"/>
      <c r="Y571" s="10"/>
      <c r="Z571" s="10"/>
      <c r="AE571" s="10"/>
      <c r="AF571" s="10"/>
    </row>
    <row r="572" spans="18:32" ht="12.75" x14ac:dyDescent="0.2">
      <c r="R572" s="9"/>
      <c r="S572" s="9"/>
      <c r="X572" s="10"/>
      <c r="Y572" s="10"/>
      <c r="Z572" s="10"/>
      <c r="AE572" s="10"/>
      <c r="AF572" s="10"/>
    </row>
    <row r="573" spans="18:32" ht="12.75" x14ac:dyDescent="0.2">
      <c r="R573" s="9"/>
      <c r="S573" s="9"/>
      <c r="X573" s="10"/>
      <c r="Y573" s="10"/>
      <c r="Z573" s="10"/>
      <c r="AE573" s="10"/>
      <c r="AF573" s="10"/>
    </row>
    <row r="574" spans="18:32" ht="12.75" x14ac:dyDescent="0.2">
      <c r="R574" s="9"/>
      <c r="S574" s="9"/>
      <c r="X574" s="10"/>
      <c r="Y574" s="10"/>
      <c r="Z574" s="10"/>
      <c r="AE574" s="10"/>
      <c r="AF574" s="10"/>
    </row>
    <row r="575" spans="18:32" ht="12.75" x14ac:dyDescent="0.2">
      <c r="R575" s="9"/>
      <c r="S575" s="9"/>
      <c r="X575" s="10"/>
      <c r="Y575" s="10"/>
      <c r="Z575" s="10"/>
      <c r="AE575" s="10"/>
      <c r="AF575" s="10"/>
    </row>
    <row r="576" spans="18:32" ht="12.75" x14ac:dyDescent="0.2">
      <c r="R576" s="9"/>
      <c r="S576" s="9"/>
      <c r="X576" s="10"/>
      <c r="Y576" s="10"/>
      <c r="Z576" s="10"/>
      <c r="AE576" s="10"/>
      <c r="AF576" s="10"/>
    </row>
    <row r="577" spans="18:32" ht="12.75" x14ac:dyDescent="0.2">
      <c r="R577" s="9"/>
      <c r="S577" s="9"/>
      <c r="X577" s="10"/>
      <c r="Y577" s="10"/>
      <c r="Z577" s="10"/>
      <c r="AE577" s="10"/>
      <c r="AF577" s="10"/>
    </row>
    <row r="578" spans="18:32" ht="12.75" x14ac:dyDescent="0.2">
      <c r="R578" s="9"/>
      <c r="S578" s="9"/>
      <c r="X578" s="10"/>
      <c r="Y578" s="10"/>
      <c r="Z578" s="10"/>
      <c r="AE578" s="10"/>
      <c r="AF578" s="10"/>
    </row>
    <row r="579" spans="18:32" ht="12.75" x14ac:dyDescent="0.2">
      <c r="R579" s="9"/>
      <c r="S579" s="9"/>
      <c r="X579" s="10"/>
      <c r="Y579" s="10"/>
      <c r="Z579" s="10"/>
      <c r="AE579" s="10"/>
      <c r="AF579" s="10"/>
    </row>
    <row r="580" spans="18:32" ht="12.75" x14ac:dyDescent="0.2">
      <c r="R580" s="9"/>
      <c r="S580" s="9"/>
      <c r="X580" s="10"/>
      <c r="Y580" s="10"/>
      <c r="Z580" s="10"/>
      <c r="AE580" s="10"/>
      <c r="AF580" s="10"/>
    </row>
    <row r="581" spans="18:32" ht="12.75" x14ac:dyDescent="0.2">
      <c r="R581" s="9"/>
      <c r="S581" s="9"/>
      <c r="X581" s="10"/>
      <c r="Y581" s="10"/>
      <c r="Z581" s="10"/>
      <c r="AE581" s="10"/>
      <c r="AF581" s="10"/>
    </row>
    <row r="582" spans="18:32" ht="12.75" x14ac:dyDescent="0.2">
      <c r="R582" s="9"/>
      <c r="S582" s="9"/>
      <c r="X582" s="10"/>
      <c r="Y582" s="10"/>
      <c r="Z582" s="10"/>
      <c r="AE582" s="10"/>
      <c r="AF582" s="10"/>
    </row>
    <row r="583" spans="18:32" ht="12.75" x14ac:dyDescent="0.2">
      <c r="R583" s="9"/>
      <c r="S583" s="9"/>
      <c r="X583" s="10"/>
      <c r="Y583" s="10"/>
      <c r="Z583" s="10"/>
      <c r="AE583" s="10"/>
      <c r="AF583" s="10"/>
    </row>
    <row r="584" spans="18:32" ht="12.75" x14ac:dyDescent="0.2">
      <c r="R584" s="9"/>
      <c r="S584" s="9"/>
      <c r="X584" s="10"/>
      <c r="Y584" s="10"/>
      <c r="Z584" s="10"/>
      <c r="AE584" s="10"/>
      <c r="AF584" s="10"/>
    </row>
    <row r="585" spans="18:32" ht="12.75" x14ac:dyDescent="0.2">
      <c r="R585" s="9"/>
      <c r="S585" s="9"/>
      <c r="X585" s="10"/>
      <c r="Y585" s="10"/>
      <c r="Z585" s="10"/>
      <c r="AE585" s="10"/>
      <c r="AF585" s="10"/>
    </row>
    <row r="586" spans="18:32" ht="12.75" x14ac:dyDescent="0.2">
      <c r="R586" s="9"/>
      <c r="S586" s="9"/>
      <c r="X586" s="10"/>
      <c r="Y586" s="10"/>
      <c r="Z586" s="10"/>
      <c r="AE586" s="10"/>
      <c r="AF586" s="10"/>
    </row>
    <row r="587" spans="18:32" ht="12.75" x14ac:dyDescent="0.2">
      <c r="R587" s="9"/>
      <c r="S587" s="9"/>
      <c r="X587" s="10"/>
      <c r="Y587" s="10"/>
      <c r="Z587" s="10"/>
      <c r="AE587" s="10"/>
      <c r="AF587" s="10"/>
    </row>
    <row r="588" spans="18:32" ht="12.75" x14ac:dyDescent="0.2">
      <c r="R588" s="9"/>
      <c r="S588" s="9"/>
      <c r="X588" s="10"/>
      <c r="Y588" s="10"/>
      <c r="Z588" s="10"/>
      <c r="AE588" s="10"/>
      <c r="AF588" s="10"/>
    </row>
    <row r="589" spans="18:32" ht="12.75" x14ac:dyDescent="0.2">
      <c r="R589" s="9"/>
      <c r="S589" s="9"/>
      <c r="X589" s="10"/>
      <c r="Y589" s="10"/>
      <c r="Z589" s="10"/>
      <c r="AE589" s="10"/>
      <c r="AF589" s="10"/>
    </row>
    <row r="590" spans="18:32" ht="12.75" x14ac:dyDescent="0.2">
      <c r="R590" s="9"/>
      <c r="S590" s="9"/>
      <c r="X590" s="10"/>
      <c r="Y590" s="10"/>
      <c r="Z590" s="10"/>
      <c r="AE590" s="10"/>
      <c r="AF590" s="10"/>
    </row>
    <row r="591" spans="18:32" ht="12.75" x14ac:dyDescent="0.2">
      <c r="R591" s="9"/>
      <c r="S591" s="9"/>
      <c r="X591" s="10"/>
      <c r="Y591" s="10"/>
      <c r="Z591" s="10"/>
      <c r="AE591" s="10"/>
      <c r="AF591" s="10"/>
    </row>
    <row r="592" spans="18:32" ht="12.75" x14ac:dyDescent="0.2">
      <c r="R592" s="9"/>
      <c r="S592" s="9"/>
      <c r="X592" s="10"/>
      <c r="Y592" s="10"/>
      <c r="Z592" s="10"/>
      <c r="AE592" s="10"/>
      <c r="AF592" s="10"/>
    </row>
    <row r="593" spans="18:32" ht="12.75" x14ac:dyDescent="0.2">
      <c r="R593" s="9"/>
      <c r="S593" s="9"/>
      <c r="X593" s="10"/>
      <c r="Y593" s="10"/>
      <c r="Z593" s="10"/>
      <c r="AE593" s="10"/>
      <c r="AF593" s="10"/>
    </row>
    <row r="594" spans="18:32" ht="12.75" x14ac:dyDescent="0.2">
      <c r="R594" s="9"/>
      <c r="S594" s="9"/>
      <c r="X594" s="10"/>
      <c r="Y594" s="10"/>
      <c r="Z594" s="10"/>
      <c r="AE594" s="10"/>
      <c r="AF594" s="10"/>
    </row>
    <row r="595" spans="18:32" ht="12.75" x14ac:dyDescent="0.2">
      <c r="R595" s="9"/>
      <c r="S595" s="9"/>
      <c r="X595" s="10"/>
      <c r="Y595" s="10"/>
      <c r="Z595" s="10"/>
      <c r="AE595" s="10"/>
      <c r="AF595" s="10"/>
    </row>
    <row r="596" spans="18:32" ht="12.75" x14ac:dyDescent="0.2">
      <c r="R596" s="9"/>
      <c r="S596" s="9"/>
      <c r="X596" s="10"/>
      <c r="Y596" s="10"/>
      <c r="Z596" s="10"/>
      <c r="AE596" s="10"/>
      <c r="AF596" s="10"/>
    </row>
    <row r="597" spans="18:32" ht="12.75" x14ac:dyDescent="0.2">
      <c r="R597" s="9"/>
      <c r="S597" s="9"/>
      <c r="X597" s="10"/>
      <c r="Y597" s="10"/>
      <c r="Z597" s="10"/>
      <c r="AE597" s="10"/>
      <c r="AF597" s="10"/>
    </row>
    <row r="598" spans="18:32" ht="12.75" x14ac:dyDescent="0.2">
      <c r="R598" s="9"/>
      <c r="S598" s="9"/>
      <c r="X598" s="10"/>
      <c r="Y598" s="10"/>
      <c r="Z598" s="10"/>
      <c r="AE598" s="10"/>
      <c r="AF598" s="10"/>
    </row>
    <row r="599" spans="18:32" ht="12.75" x14ac:dyDescent="0.2">
      <c r="R599" s="9"/>
      <c r="S599" s="9"/>
      <c r="X599" s="10"/>
      <c r="Y599" s="10"/>
      <c r="Z599" s="10"/>
      <c r="AE599" s="10"/>
      <c r="AF599" s="10"/>
    </row>
    <row r="600" spans="18:32" ht="12.75" x14ac:dyDescent="0.2">
      <c r="R600" s="9"/>
      <c r="S600" s="9"/>
      <c r="X600" s="10"/>
      <c r="Y600" s="10"/>
      <c r="Z600" s="10"/>
      <c r="AE600" s="10"/>
      <c r="AF600" s="10"/>
    </row>
    <row r="601" spans="18:32" ht="12.75" x14ac:dyDescent="0.2">
      <c r="R601" s="9"/>
      <c r="S601" s="9"/>
      <c r="X601" s="10"/>
      <c r="Y601" s="10"/>
      <c r="Z601" s="10"/>
      <c r="AE601" s="10"/>
      <c r="AF601" s="10"/>
    </row>
    <row r="602" spans="18:32" ht="12.75" x14ac:dyDescent="0.2">
      <c r="R602" s="9"/>
      <c r="S602" s="9"/>
      <c r="X602" s="10"/>
      <c r="Y602" s="10"/>
      <c r="Z602" s="10"/>
      <c r="AE602" s="10"/>
      <c r="AF602" s="10"/>
    </row>
    <row r="603" spans="18:32" ht="12.75" x14ac:dyDescent="0.2">
      <c r="R603" s="9"/>
      <c r="S603" s="9"/>
      <c r="X603" s="10"/>
      <c r="Y603" s="10"/>
      <c r="Z603" s="10"/>
      <c r="AE603" s="10"/>
      <c r="AF603" s="10"/>
    </row>
    <row r="604" spans="18:32" ht="12.75" x14ac:dyDescent="0.2">
      <c r="R604" s="9"/>
      <c r="S604" s="9"/>
      <c r="X604" s="10"/>
      <c r="Y604" s="10"/>
      <c r="Z604" s="10"/>
      <c r="AE604" s="10"/>
      <c r="AF604" s="10"/>
    </row>
    <row r="605" spans="18:32" ht="12.75" x14ac:dyDescent="0.2">
      <c r="R605" s="9"/>
      <c r="S605" s="9"/>
      <c r="X605" s="10"/>
      <c r="Y605" s="10"/>
      <c r="Z605" s="10"/>
      <c r="AE605" s="10"/>
      <c r="AF605" s="10"/>
    </row>
    <row r="606" spans="18:32" ht="12.75" x14ac:dyDescent="0.2">
      <c r="R606" s="9"/>
      <c r="S606" s="9"/>
      <c r="X606" s="10"/>
      <c r="Y606" s="10"/>
      <c r="Z606" s="10"/>
      <c r="AE606" s="10"/>
      <c r="AF606" s="10"/>
    </row>
    <row r="607" spans="18:32" ht="12.75" x14ac:dyDescent="0.2">
      <c r="R607" s="9"/>
      <c r="S607" s="9"/>
      <c r="X607" s="10"/>
      <c r="Y607" s="10"/>
      <c r="Z607" s="10"/>
      <c r="AE607" s="10"/>
      <c r="AF607" s="10"/>
    </row>
    <row r="608" spans="18:32" ht="12.75" x14ac:dyDescent="0.2">
      <c r="R608" s="9"/>
      <c r="S608" s="9"/>
      <c r="X608" s="10"/>
      <c r="Y608" s="10"/>
      <c r="Z608" s="10"/>
      <c r="AE608" s="10"/>
      <c r="AF608" s="10"/>
    </row>
    <row r="609" spans="18:32" ht="12.75" x14ac:dyDescent="0.2">
      <c r="R609" s="9"/>
      <c r="S609" s="9"/>
      <c r="X609" s="10"/>
      <c r="Y609" s="10"/>
      <c r="Z609" s="10"/>
      <c r="AE609" s="10"/>
      <c r="AF609" s="10"/>
    </row>
    <row r="610" spans="18:32" ht="12.75" x14ac:dyDescent="0.2">
      <c r="R610" s="9"/>
      <c r="S610" s="9"/>
      <c r="X610" s="10"/>
      <c r="Y610" s="10"/>
      <c r="Z610" s="10"/>
      <c r="AE610" s="10"/>
      <c r="AF610" s="10"/>
    </row>
    <row r="611" spans="18:32" ht="12.75" x14ac:dyDescent="0.2">
      <c r="R611" s="9"/>
      <c r="S611" s="9"/>
      <c r="X611" s="10"/>
      <c r="Y611" s="10"/>
      <c r="Z611" s="10"/>
      <c r="AE611" s="10"/>
      <c r="AF611" s="10"/>
    </row>
    <row r="612" spans="18:32" ht="12.75" x14ac:dyDescent="0.2">
      <c r="R612" s="9"/>
      <c r="S612" s="9"/>
      <c r="X612" s="10"/>
      <c r="Y612" s="10"/>
      <c r="Z612" s="10"/>
      <c r="AE612" s="10"/>
      <c r="AF612" s="10"/>
    </row>
    <row r="613" spans="18:32" ht="12.75" x14ac:dyDescent="0.2">
      <c r="R613" s="9"/>
      <c r="S613" s="9"/>
      <c r="X613" s="10"/>
      <c r="Y613" s="10"/>
      <c r="Z613" s="10"/>
      <c r="AE613" s="10"/>
      <c r="AF613" s="10"/>
    </row>
    <row r="614" spans="18:32" ht="12.75" x14ac:dyDescent="0.2">
      <c r="R614" s="9"/>
      <c r="S614" s="9"/>
      <c r="X614" s="10"/>
      <c r="Y614" s="10"/>
      <c r="Z614" s="10"/>
      <c r="AE614" s="10"/>
      <c r="AF614" s="10"/>
    </row>
    <row r="615" spans="18:32" ht="12.75" x14ac:dyDescent="0.2">
      <c r="R615" s="9"/>
      <c r="S615" s="9"/>
      <c r="X615" s="10"/>
      <c r="Y615" s="10"/>
      <c r="Z615" s="10"/>
      <c r="AE615" s="10"/>
      <c r="AF615" s="10"/>
    </row>
    <row r="616" spans="18:32" ht="12.75" x14ac:dyDescent="0.2">
      <c r="R616" s="9"/>
      <c r="S616" s="9"/>
      <c r="X616" s="10"/>
      <c r="Y616" s="10"/>
      <c r="Z616" s="10"/>
      <c r="AE616" s="10"/>
      <c r="AF616" s="10"/>
    </row>
    <row r="617" spans="18:32" ht="12.75" x14ac:dyDescent="0.2">
      <c r="R617" s="9"/>
      <c r="S617" s="9"/>
      <c r="X617" s="10"/>
      <c r="Y617" s="10"/>
      <c r="Z617" s="10"/>
      <c r="AE617" s="10"/>
      <c r="AF617" s="10"/>
    </row>
    <row r="618" spans="18:32" ht="12.75" x14ac:dyDescent="0.2">
      <c r="R618" s="9"/>
      <c r="S618" s="9"/>
      <c r="X618" s="10"/>
      <c r="Y618" s="10"/>
      <c r="Z618" s="10"/>
      <c r="AE618" s="10"/>
      <c r="AF618" s="10"/>
    </row>
    <row r="619" spans="18:32" ht="12.75" x14ac:dyDescent="0.2">
      <c r="R619" s="9"/>
      <c r="S619" s="9"/>
      <c r="X619" s="10"/>
      <c r="Y619" s="10"/>
      <c r="Z619" s="10"/>
      <c r="AE619" s="10"/>
      <c r="AF619" s="10"/>
    </row>
    <row r="620" spans="18:32" ht="12.75" x14ac:dyDescent="0.2">
      <c r="R620" s="9"/>
      <c r="S620" s="9"/>
      <c r="X620" s="10"/>
      <c r="Y620" s="10"/>
      <c r="Z620" s="10"/>
      <c r="AE620" s="10"/>
      <c r="AF620" s="10"/>
    </row>
    <row r="621" spans="18:32" ht="12.75" x14ac:dyDescent="0.2">
      <c r="R621" s="9"/>
      <c r="S621" s="9"/>
      <c r="X621" s="10"/>
      <c r="Y621" s="10"/>
      <c r="Z621" s="10"/>
      <c r="AE621" s="10"/>
      <c r="AF621" s="10"/>
    </row>
    <row r="622" spans="18:32" ht="12.75" x14ac:dyDescent="0.2">
      <c r="R622" s="9"/>
      <c r="S622" s="9"/>
      <c r="X622" s="10"/>
      <c r="Y622" s="10"/>
      <c r="Z622" s="10"/>
      <c r="AE622" s="10"/>
      <c r="AF622" s="10"/>
    </row>
    <row r="623" spans="18:32" ht="12.75" x14ac:dyDescent="0.2">
      <c r="R623" s="9"/>
      <c r="S623" s="9"/>
      <c r="X623" s="10"/>
      <c r="Y623" s="10"/>
      <c r="Z623" s="10"/>
      <c r="AE623" s="10"/>
      <c r="AF623" s="10"/>
    </row>
    <row r="624" spans="18:32" ht="12.75" x14ac:dyDescent="0.2">
      <c r="R624" s="9"/>
      <c r="S624" s="9"/>
      <c r="X624" s="10"/>
      <c r="Y624" s="10"/>
      <c r="Z624" s="10"/>
      <c r="AE624" s="10"/>
      <c r="AF624" s="10"/>
    </row>
    <row r="625" spans="18:32" ht="12.75" x14ac:dyDescent="0.2">
      <c r="R625" s="9"/>
      <c r="S625" s="9"/>
      <c r="X625" s="10"/>
      <c r="Y625" s="10"/>
      <c r="Z625" s="10"/>
      <c r="AE625" s="10"/>
      <c r="AF625" s="10"/>
    </row>
    <row r="626" spans="18:32" ht="12.75" x14ac:dyDescent="0.2">
      <c r="R626" s="9"/>
      <c r="S626" s="9"/>
      <c r="X626" s="10"/>
      <c r="Y626" s="10"/>
      <c r="Z626" s="10"/>
      <c r="AE626" s="10"/>
      <c r="AF626" s="10"/>
    </row>
    <row r="627" spans="18:32" ht="12.75" x14ac:dyDescent="0.2">
      <c r="R627" s="9"/>
      <c r="S627" s="9"/>
      <c r="X627" s="10"/>
      <c r="Y627" s="10"/>
      <c r="Z627" s="10"/>
      <c r="AE627" s="10"/>
      <c r="AF627" s="10"/>
    </row>
    <row r="628" spans="18:32" ht="12.75" x14ac:dyDescent="0.2">
      <c r="R628" s="9"/>
      <c r="S628" s="9"/>
      <c r="X628" s="10"/>
      <c r="Y628" s="10"/>
      <c r="Z628" s="10"/>
      <c r="AE628" s="10"/>
      <c r="AF628" s="10"/>
    </row>
    <row r="629" spans="18:32" ht="12.75" x14ac:dyDescent="0.2">
      <c r="R629" s="9"/>
      <c r="S629" s="9"/>
      <c r="X629" s="10"/>
      <c r="Y629" s="10"/>
      <c r="Z629" s="10"/>
      <c r="AE629" s="10"/>
      <c r="AF629" s="10"/>
    </row>
    <row r="630" spans="18:32" ht="12.75" x14ac:dyDescent="0.2">
      <c r="R630" s="9"/>
      <c r="S630" s="9"/>
      <c r="X630" s="10"/>
      <c r="Y630" s="10"/>
      <c r="Z630" s="10"/>
      <c r="AE630" s="10"/>
      <c r="AF630" s="10"/>
    </row>
    <row r="631" spans="18:32" ht="12.75" x14ac:dyDescent="0.2">
      <c r="R631" s="9"/>
      <c r="S631" s="9"/>
      <c r="X631" s="10"/>
      <c r="Y631" s="10"/>
      <c r="Z631" s="10"/>
      <c r="AE631" s="10"/>
      <c r="AF631" s="10"/>
    </row>
    <row r="632" spans="18:32" ht="12.75" x14ac:dyDescent="0.2">
      <c r="R632" s="9"/>
      <c r="S632" s="9"/>
      <c r="X632" s="10"/>
      <c r="Y632" s="10"/>
      <c r="Z632" s="10"/>
      <c r="AE632" s="10"/>
      <c r="AF632" s="10"/>
    </row>
    <row r="633" spans="18:32" ht="12.75" x14ac:dyDescent="0.2">
      <c r="R633" s="9"/>
      <c r="S633" s="9"/>
      <c r="X633" s="10"/>
      <c r="Y633" s="10"/>
      <c r="Z633" s="10"/>
      <c r="AE633" s="10"/>
      <c r="AF633" s="10"/>
    </row>
    <row r="634" spans="18:32" ht="12.75" x14ac:dyDescent="0.2">
      <c r="R634" s="9"/>
      <c r="S634" s="9"/>
      <c r="X634" s="10"/>
      <c r="Y634" s="10"/>
      <c r="Z634" s="10"/>
      <c r="AE634" s="10"/>
      <c r="AF634" s="10"/>
    </row>
    <row r="635" spans="18:32" ht="12.75" x14ac:dyDescent="0.2">
      <c r="R635" s="9"/>
      <c r="S635" s="9"/>
      <c r="X635" s="10"/>
      <c r="Y635" s="10"/>
      <c r="Z635" s="10"/>
      <c r="AE635" s="10"/>
      <c r="AF635" s="10"/>
    </row>
    <row r="636" spans="18:32" ht="12.75" x14ac:dyDescent="0.2">
      <c r="R636" s="9"/>
      <c r="S636" s="9"/>
      <c r="X636" s="10"/>
      <c r="Y636" s="10"/>
      <c r="Z636" s="10"/>
      <c r="AE636" s="10"/>
      <c r="AF636" s="10"/>
    </row>
    <row r="637" spans="18:32" ht="12.75" x14ac:dyDescent="0.2">
      <c r="R637" s="9"/>
      <c r="S637" s="9"/>
      <c r="X637" s="10"/>
      <c r="Y637" s="10"/>
      <c r="Z637" s="10"/>
      <c r="AE637" s="10"/>
      <c r="AF637" s="10"/>
    </row>
    <row r="638" spans="18:32" ht="12.75" x14ac:dyDescent="0.2">
      <c r="R638" s="9"/>
      <c r="S638" s="9"/>
      <c r="X638" s="10"/>
      <c r="Y638" s="10"/>
      <c r="Z638" s="10"/>
      <c r="AE638" s="10"/>
      <c r="AF638" s="10"/>
    </row>
    <row r="639" spans="18:32" ht="12.75" x14ac:dyDescent="0.2">
      <c r="R639" s="9"/>
      <c r="S639" s="9"/>
      <c r="X639" s="10"/>
      <c r="Y639" s="10"/>
      <c r="Z639" s="10"/>
      <c r="AE639" s="10"/>
      <c r="AF639" s="10"/>
    </row>
    <row r="640" spans="18:32" ht="12.75" x14ac:dyDescent="0.2">
      <c r="R640" s="9"/>
      <c r="S640" s="9"/>
      <c r="X640" s="10"/>
      <c r="Y640" s="10"/>
      <c r="Z640" s="10"/>
      <c r="AE640" s="10"/>
      <c r="AF640" s="10"/>
    </row>
    <row r="641" spans="18:32" ht="12.75" x14ac:dyDescent="0.2">
      <c r="R641" s="9"/>
      <c r="S641" s="9"/>
      <c r="X641" s="10"/>
      <c r="Y641" s="10"/>
      <c r="Z641" s="10"/>
      <c r="AE641" s="10"/>
      <c r="AF641" s="10"/>
    </row>
    <row r="642" spans="18:32" ht="12.75" x14ac:dyDescent="0.2">
      <c r="R642" s="9"/>
      <c r="S642" s="9"/>
      <c r="X642" s="10"/>
      <c r="Y642" s="10"/>
      <c r="Z642" s="10"/>
      <c r="AE642" s="10"/>
      <c r="AF642" s="10"/>
    </row>
    <row r="643" spans="18:32" ht="12.75" x14ac:dyDescent="0.2">
      <c r="R643" s="9"/>
      <c r="S643" s="9"/>
      <c r="X643" s="10"/>
      <c r="Y643" s="10"/>
      <c r="Z643" s="10"/>
      <c r="AE643" s="10"/>
      <c r="AF643" s="10"/>
    </row>
    <row r="644" spans="18:32" ht="12.75" x14ac:dyDescent="0.2">
      <c r="R644" s="9"/>
      <c r="S644" s="9"/>
      <c r="X644" s="10"/>
      <c r="Y644" s="10"/>
      <c r="Z644" s="10"/>
      <c r="AE644" s="10"/>
      <c r="AF644" s="10"/>
    </row>
    <row r="645" spans="18:32" ht="12.75" x14ac:dyDescent="0.2">
      <c r="R645" s="9"/>
      <c r="S645" s="9"/>
      <c r="X645" s="10"/>
      <c r="Y645" s="10"/>
      <c r="Z645" s="10"/>
      <c r="AE645" s="10"/>
      <c r="AF645" s="10"/>
    </row>
    <row r="646" spans="18:32" ht="12.75" x14ac:dyDescent="0.2">
      <c r="R646" s="9"/>
      <c r="S646" s="9"/>
      <c r="X646" s="10"/>
      <c r="Y646" s="10"/>
      <c r="Z646" s="10"/>
      <c r="AE646" s="10"/>
      <c r="AF646" s="10"/>
    </row>
    <row r="647" spans="18:32" ht="12.75" x14ac:dyDescent="0.2">
      <c r="R647" s="9"/>
      <c r="S647" s="9"/>
      <c r="X647" s="10"/>
      <c r="Y647" s="10"/>
      <c r="Z647" s="10"/>
      <c r="AE647" s="10"/>
      <c r="AF647" s="10"/>
    </row>
    <row r="648" spans="18:32" ht="12.75" x14ac:dyDescent="0.2">
      <c r="R648" s="9"/>
      <c r="S648" s="9"/>
      <c r="X648" s="10"/>
      <c r="Y648" s="10"/>
      <c r="Z648" s="10"/>
      <c r="AE648" s="10"/>
      <c r="AF648" s="10"/>
    </row>
    <row r="649" spans="18:32" ht="12.75" x14ac:dyDescent="0.2">
      <c r="R649" s="9"/>
      <c r="S649" s="9"/>
      <c r="X649" s="10"/>
      <c r="Y649" s="10"/>
      <c r="Z649" s="10"/>
      <c r="AE649" s="10"/>
      <c r="AF649" s="10"/>
    </row>
    <row r="650" spans="18:32" ht="12.75" x14ac:dyDescent="0.2">
      <c r="R650" s="9"/>
      <c r="S650" s="9"/>
      <c r="X650" s="10"/>
      <c r="Y650" s="10"/>
      <c r="Z650" s="10"/>
      <c r="AE650" s="10"/>
      <c r="AF650" s="10"/>
    </row>
    <row r="651" spans="18:32" ht="12.75" x14ac:dyDescent="0.2">
      <c r="R651" s="9"/>
      <c r="S651" s="9"/>
      <c r="X651" s="10"/>
      <c r="Y651" s="10"/>
      <c r="Z651" s="10"/>
      <c r="AE651" s="10"/>
      <c r="AF651" s="10"/>
    </row>
    <row r="652" spans="18:32" ht="12.75" x14ac:dyDescent="0.2">
      <c r="R652" s="9"/>
      <c r="S652" s="9"/>
      <c r="X652" s="10"/>
      <c r="Y652" s="10"/>
      <c r="Z652" s="10"/>
      <c r="AE652" s="10"/>
      <c r="AF652" s="10"/>
    </row>
    <row r="653" spans="18:32" ht="12.75" x14ac:dyDescent="0.2">
      <c r="R653" s="9"/>
      <c r="S653" s="9"/>
      <c r="X653" s="10"/>
      <c r="Y653" s="10"/>
      <c r="Z653" s="10"/>
      <c r="AE653" s="10"/>
      <c r="AF653" s="10"/>
    </row>
    <row r="654" spans="18:32" ht="12.75" x14ac:dyDescent="0.2">
      <c r="R654" s="9"/>
      <c r="S654" s="9"/>
      <c r="X654" s="10"/>
      <c r="Y654" s="10"/>
      <c r="Z654" s="10"/>
      <c r="AE654" s="10"/>
      <c r="AF654" s="10"/>
    </row>
    <row r="655" spans="18:32" ht="12.75" x14ac:dyDescent="0.2">
      <c r="R655" s="9"/>
      <c r="S655" s="9"/>
      <c r="X655" s="10"/>
      <c r="Y655" s="10"/>
      <c r="Z655" s="10"/>
      <c r="AE655" s="10"/>
      <c r="AF655" s="10"/>
    </row>
    <row r="656" spans="18:32" ht="12.75" x14ac:dyDescent="0.2">
      <c r="R656" s="9"/>
      <c r="S656" s="9"/>
      <c r="X656" s="10"/>
      <c r="Y656" s="10"/>
      <c r="Z656" s="10"/>
      <c r="AE656" s="10"/>
      <c r="AF656" s="10"/>
    </row>
    <row r="657" spans="18:32" ht="12.75" x14ac:dyDescent="0.2">
      <c r="R657" s="9"/>
      <c r="S657" s="9"/>
      <c r="X657" s="10"/>
      <c r="Y657" s="10"/>
      <c r="Z657" s="10"/>
      <c r="AE657" s="10"/>
      <c r="AF657" s="10"/>
    </row>
    <row r="658" spans="18:32" ht="12.75" x14ac:dyDescent="0.2">
      <c r="R658" s="9"/>
      <c r="S658" s="9"/>
      <c r="X658" s="10"/>
      <c r="Y658" s="10"/>
      <c r="Z658" s="10"/>
      <c r="AE658" s="10"/>
      <c r="AF658" s="10"/>
    </row>
    <row r="659" spans="18:32" ht="12.75" x14ac:dyDescent="0.2">
      <c r="R659" s="9"/>
      <c r="S659" s="9"/>
      <c r="X659" s="10"/>
      <c r="Y659" s="10"/>
      <c r="Z659" s="10"/>
      <c r="AE659" s="10"/>
      <c r="AF659" s="10"/>
    </row>
    <row r="660" spans="18:32" ht="12.75" x14ac:dyDescent="0.2">
      <c r="R660" s="9"/>
      <c r="S660" s="9"/>
      <c r="X660" s="10"/>
      <c r="Y660" s="10"/>
      <c r="Z660" s="10"/>
      <c r="AE660" s="10"/>
      <c r="AF660" s="10"/>
    </row>
    <row r="661" spans="18:32" ht="12.75" x14ac:dyDescent="0.2">
      <c r="R661" s="9"/>
      <c r="S661" s="9"/>
      <c r="X661" s="10"/>
      <c r="Y661" s="10"/>
      <c r="Z661" s="10"/>
      <c r="AE661" s="10"/>
      <c r="AF661" s="10"/>
    </row>
    <row r="662" spans="18:32" ht="12.75" x14ac:dyDescent="0.2">
      <c r="R662" s="9"/>
      <c r="S662" s="9"/>
      <c r="X662" s="10"/>
      <c r="Y662" s="10"/>
      <c r="Z662" s="10"/>
      <c r="AE662" s="10"/>
      <c r="AF662" s="10"/>
    </row>
    <row r="663" spans="18:32" ht="12.75" x14ac:dyDescent="0.2">
      <c r="R663" s="9"/>
      <c r="S663" s="9"/>
      <c r="X663" s="10"/>
      <c r="Y663" s="10"/>
      <c r="Z663" s="10"/>
      <c r="AE663" s="10"/>
      <c r="AF663" s="10"/>
    </row>
    <row r="664" spans="18:32" ht="12.75" x14ac:dyDescent="0.2">
      <c r="R664" s="9"/>
      <c r="S664" s="9"/>
      <c r="X664" s="10"/>
      <c r="Y664" s="10"/>
      <c r="Z664" s="10"/>
      <c r="AE664" s="10"/>
      <c r="AF664" s="10"/>
    </row>
    <row r="665" spans="18:32" ht="12.75" x14ac:dyDescent="0.2">
      <c r="R665" s="9"/>
      <c r="S665" s="9"/>
      <c r="X665" s="10"/>
      <c r="Y665" s="10"/>
      <c r="Z665" s="10"/>
      <c r="AE665" s="10"/>
      <c r="AF665" s="10"/>
    </row>
    <row r="666" spans="18:32" ht="12.75" x14ac:dyDescent="0.2">
      <c r="R666" s="9"/>
      <c r="S666" s="9"/>
      <c r="X666" s="10"/>
      <c r="Y666" s="10"/>
      <c r="Z666" s="10"/>
      <c r="AE666" s="10"/>
      <c r="AF666" s="10"/>
    </row>
    <row r="667" spans="18:32" ht="12.75" x14ac:dyDescent="0.2">
      <c r="R667" s="9"/>
      <c r="S667" s="9"/>
      <c r="X667" s="10"/>
      <c r="Y667" s="10"/>
      <c r="Z667" s="10"/>
      <c r="AE667" s="10"/>
      <c r="AF667" s="10"/>
    </row>
    <row r="668" spans="18:32" ht="12.75" x14ac:dyDescent="0.2">
      <c r="R668" s="9"/>
      <c r="S668" s="9"/>
      <c r="X668" s="10"/>
      <c r="Y668" s="10"/>
      <c r="Z668" s="10"/>
      <c r="AE668" s="10"/>
      <c r="AF668" s="10"/>
    </row>
    <row r="669" spans="18:32" ht="12.75" x14ac:dyDescent="0.2">
      <c r="R669" s="9"/>
      <c r="S669" s="9"/>
      <c r="X669" s="10"/>
      <c r="Y669" s="10"/>
      <c r="Z669" s="10"/>
      <c r="AE669" s="10"/>
      <c r="AF669" s="10"/>
    </row>
    <row r="670" spans="18:32" ht="12.75" x14ac:dyDescent="0.2">
      <c r="R670" s="9"/>
      <c r="S670" s="9"/>
      <c r="X670" s="10"/>
      <c r="Y670" s="10"/>
      <c r="Z670" s="10"/>
      <c r="AE670" s="10"/>
      <c r="AF670" s="10"/>
    </row>
    <row r="671" spans="18:32" ht="12.75" x14ac:dyDescent="0.2">
      <c r="R671" s="9"/>
      <c r="S671" s="9"/>
      <c r="X671" s="10"/>
      <c r="Y671" s="10"/>
      <c r="Z671" s="10"/>
      <c r="AE671" s="10"/>
      <c r="AF671" s="10"/>
    </row>
    <row r="672" spans="18:32" ht="12.75" x14ac:dyDescent="0.2">
      <c r="R672" s="9"/>
      <c r="S672" s="9"/>
      <c r="X672" s="10"/>
      <c r="Y672" s="10"/>
      <c r="Z672" s="10"/>
      <c r="AE672" s="10"/>
      <c r="AF672" s="10"/>
    </row>
    <row r="673" spans="18:32" ht="12.75" x14ac:dyDescent="0.2">
      <c r="R673" s="9"/>
      <c r="S673" s="9"/>
      <c r="X673" s="10"/>
      <c r="Y673" s="10"/>
      <c r="Z673" s="10"/>
      <c r="AE673" s="10"/>
      <c r="AF673" s="10"/>
    </row>
    <row r="674" spans="18:32" ht="12.75" x14ac:dyDescent="0.2">
      <c r="R674" s="9"/>
      <c r="S674" s="9"/>
      <c r="X674" s="10"/>
      <c r="Y674" s="10"/>
      <c r="Z674" s="10"/>
      <c r="AE674" s="10"/>
      <c r="AF674" s="10"/>
    </row>
    <row r="675" spans="18:32" ht="12.75" x14ac:dyDescent="0.2">
      <c r="R675" s="9"/>
      <c r="S675" s="9"/>
      <c r="X675" s="10"/>
      <c r="Y675" s="10"/>
      <c r="Z675" s="10"/>
      <c r="AE675" s="10"/>
      <c r="AF675" s="10"/>
    </row>
    <row r="676" spans="18:32" ht="12.75" x14ac:dyDescent="0.2">
      <c r="R676" s="9"/>
      <c r="S676" s="9"/>
      <c r="X676" s="10"/>
      <c r="Y676" s="10"/>
      <c r="Z676" s="10"/>
      <c r="AE676" s="10"/>
      <c r="AF676" s="10"/>
    </row>
    <row r="677" spans="18:32" ht="12.75" x14ac:dyDescent="0.2">
      <c r="R677" s="9"/>
      <c r="S677" s="9"/>
      <c r="X677" s="10"/>
      <c r="Y677" s="10"/>
      <c r="Z677" s="10"/>
      <c r="AE677" s="10"/>
      <c r="AF677" s="10"/>
    </row>
    <row r="678" spans="18:32" ht="12.75" x14ac:dyDescent="0.2">
      <c r="R678" s="9"/>
      <c r="S678" s="9"/>
      <c r="X678" s="10"/>
      <c r="Y678" s="10"/>
      <c r="Z678" s="10"/>
      <c r="AE678" s="10"/>
      <c r="AF678" s="10"/>
    </row>
    <row r="679" spans="18:32" ht="12.75" x14ac:dyDescent="0.2">
      <c r="R679" s="9"/>
      <c r="S679" s="9"/>
      <c r="X679" s="10"/>
      <c r="Y679" s="10"/>
      <c r="Z679" s="10"/>
      <c r="AE679" s="10"/>
      <c r="AF679" s="10"/>
    </row>
    <row r="680" spans="18:32" ht="12.75" x14ac:dyDescent="0.2">
      <c r="R680" s="9"/>
      <c r="S680" s="9"/>
      <c r="X680" s="10"/>
      <c r="Y680" s="10"/>
      <c r="Z680" s="10"/>
      <c r="AE680" s="10"/>
      <c r="AF680" s="10"/>
    </row>
    <row r="681" spans="18:32" ht="12.75" x14ac:dyDescent="0.2">
      <c r="R681" s="9"/>
      <c r="S681" s="9"/>
      <c r="X681" s="10"/>
      <c r="Y681" s="10"/>
      <c r="Z681" s="10"/>
      <c r="AE681" s="10"/>
      <c r="AF681" s="10"/>
    </row>
    <row r="682" spans="18:32" ht="12.75" x14ac:dyDescent="0.2">
      <c r="R682" s="9"/>
      <c r="S682" s="9"/>
      <c r="X682" s="10"/>
      <c r="Y682" s="10"/>
      <c r="Z682" s="10"/>
      <c r="AE682" s="10"/>
      <c r="AF682" s="10"/>
    </row>
    <row r="683" spans="18:32" ht="12.75" x14ac:dyDescent="0.2">
      <c r="R683" s="9"/>
      <c r="S683" s="9"/>
      <c r="X683" s="10"/>
      <c r="Y683" s="10"/>
      <c r="Z683" s="10"/>
      <c r="AE683" s="10"/>
      <c r="AF683" s="10"/>
    </row>
    <row r="684" spans="18:32" ht="12.75" x14ac:dyDescent="0.2">
      <c r="R684" s="9"/>
      <c r="S684" s="9"/>
      <c r="X684" s="10"/>
      <c r="Y684" s="10"/>
      <c r="Z684" s="10"/>
      <c r="AE684" s="10"/>
      <c r="AF684" s="10"/>
    </row>
    <row r="685" spans="18:32" ht="12.75" x14ac:dyDescent="0.2">
      <c r="R685" s="9"/>
      <c r="S685" s="9"/>
      <c r="X685" s="10"/>
      <c r="Y685" s="10"/>
      <c r="Z685" s="10"/>
      <c r="AE685" s="10"/>
      <c r="AF685" s="10"/>
    </row>
    <row r="686" spans="18:32" ht="12.75" x14ac:dyDescent="0.2">
      <c r="R686" s="9"/>
      <c r="S686" s="9"/>
      <c r="X686" s="10"/>
      <c r="Y686" s="10"/>
      <c r="Z686" s="10"/>
      <c r="AE686" s="10"/>
      <c r="AF686" s="10"/>
    </row>
    <row r="687" spans="18:32" ht="12.75" x14ac:dyDescent="0.2">
      <c r="R687" s="9"/>
      <c r="S687" s="9"/>
      <c r="X687" s="10"/>
      <c r="Y687" s="10"/>
      <c r="Z687" s="10"/>
      <c r="AE687" s="10"/>
      <c r="AF687" s="10"/>
    </row>
    <row r="688" spans="18:32" ht="12.75" x14ac:dyDescent="0.2">
      <c r="R688" s="9"/>
      <c r="S688" s="9"/>
      <c r="X688" s="10"/>
      <c r="Y688" s="10"/>
      <c r="Z688" s="10"/>
      <c r="AE688" s="10"/>
      <c r="AF688" s="10"/>
    </row>
    <row r="689" spans="18:32" ht="12.75" x14ac:dyDescent="0.2">
      <c r="R689" s="9"/>
      <c r="S689" s="9"/>
      <c r="X689" s="10"/>
      <c r="Y689" s="10"/>
      <c r="Z689" s="10"/>
      <c r="AE689" s="10"/>
      <c r="AF689" s="10"/>
    </row>
    <row r="690" spans="18:32" ht="12.75" x14ac:dyDescent="0.2">
      <c r="R690" s="9"/>
      <c r="S690" s="9"/>
      <c r="X690" s="10"/>
      <c r="Y690" s="10"/>
      <c r="Z690" s="10"/>
      <c r="AE690" s="10"/>
      <c r="AF690" s="10"/>
    </row>
    <row r="691" spans="18:32" ht="12.75" x14ac:dyDescent="0.2">
      <c r="R691" s="9"/>
      <c r="S691" s="9"/>
      <c r="X691" s="10"/>
      <c r="Y691" s="10"/>
      <c r="Z691" s="10"/>
      <c r="AE691" s="10"/>
      <c r="AF691" s="10"/>
    </row>
    <row r="692" spans="18:32" ht="12.75" x14ac:dyDescent="0.2">
      <c r="R692" s="9"/>
      <c r="S692" s="9"/>
      <c r="X692" s="10"/>
      <c r="Y692" s="10"/>
      <c r="Z692" s="10"/>
      <c r="AE692" s="10"/>
      <c r="AF692" s="10"/>
    </row>
    <row r="693" spans="18:32" ht="12.75" x14ac:dyDescent="0.2">
      <c r="R693" s="9"/>
      <c r="S693" s="9"/>
      <c r="X693" s="10"/>
      <c r="Y693" s="10"/>
      <c r="Z693" s="10"/>
      <c r="AE693" s="10"/>
      <c r="AF693" s="10"/>
    </row>
    <row r="694" spans="18:32" ht="12.75" x14ac:dyDescent="0.2">
      <c r="R694" s="9"/>
      <c r="S694" s="9"/>
      <c r="X694" s="10"/>
      <c r="Y694" s="10"/>
      <c r="Z694" s="10"/>
      <c r="AE694" s="10"/>
      <c r="AF694" s="10"/>
    </row>
    <row r="695" spans="18:32" ht="12.75" x14ac:dyDescent="0.2">
      <c r="R695" s="9"/>
      <c r="S695" s="9"/>
      <c r="X695" s="10"/>
      <c r="Y695" s="10"/>
      <c r="Z695" s="10"/>
      <c r="AE695" s="10"/>
      <c r="AF695" s="10"/>
    </row>
    <row r="696" spans="18:32" ht="12.75" x14ac:dyDescent="0.2">
      <c r="R696" s="9"/>
      <c r="S696" s="9"/>
      <c r="X696" s="10"/>
      <c r="Y696" s="10"/>
      <c r="Z696" s="10"/>
      <c r="AE696" s="10"/>
      <c r="AF696" s="10"/>
    </row>
    <row r="697" spans="18:32" ht="12.75" x14ac:dyDescent="0.2">
      <c r="R697" s="9"/>
      <c r="S697" s="9"/>
      <c r="X697" s="10"/>
      <c r="Y697" s="10"/>
      <c r="Z697" s="10"/>
      <c r="AE697" s="10"/>
      <c r="AF697" s="10"/>
    </row>
    <row r="698" spans="18:32" ht="12.75" x14ac:dyDescent="0.2">
      <c r="R698" s="9"/>
      <c r="S698" s="9"/>
      <c r="X698" s="10"/>
      <c r="Y698" s="10"/>
      <c r="Z698" s="10"/>
      <c r="AE698" s="10"/>
      <c r="AF698" s="10"/>
    </row>
    <row r="699" spans="18:32" ht="12.75" x14ac:dyDescent="0.2">
      <c r="R699" s="9"/>
      <c r="S699" s="9"/>
      <c r="X699" s="10"/>
      <c r="Y699" s="10"/>
      <c r="Z699" s="10"/>
      <c r="AE699" s="10"/>
      <c r="AF699" s="10"/>
    </row>
    <row r="700" spans="18:32" ht="12.75" x14ac:dyDescent="0.2">
      <c r="R700" s="9"/>
      <c r="S700" s="9"/>
      <c r="X700" s="10"/>
      <c r="Y700" s="10"/>
      <c r="Z700" s="10"/>
      <c r="AE700" s="10"/>
      <c r="AF700" s="10"/>
    </row>
    <row r="701" spans="18:32" ht="12.75" x14ac:dyDescent="0.2">
      <c r="R701" s="9"/>
      <c r="S701" s="9"/>
      <c r="X701" s="10"/>
      <c r="Y701" s="10"/>
      <c r="Z701" s="10"/>
      <c r="AE701" s="10"/>
      <c r="AF701" s="10"/>
    </row>
    <row r="702" spans="18:32" ht="12.75" x14ac:dyDescent="0.2">
      <c r="R702" s="9"/>
      <c r="S702" s="9"/>
      <c r="X702" s="10"/>
      <c r="Y702" s="10"/>
      <c r="Z702" s="10"/>
      <c r="AE702" s="10"/>
      <c r="AF702" s="10"/>
    </row>
    <row r="703" spans="18:32" ht="12.75" x14ac:dyDescent="0.2">
      <c r="R703" s="9"/>
      <c r="S703" s="9"/>
      <c r="X703" s="10"/>
      <c r="Y703" s="10"/>
      <c r="Z703" s="10"/>
      <c r="AE703" s="10"/>
      <c r="AF703" s="10"/>
    </row>
    <row r="704" spans="18:32" ht="12.75" x14ac:dyDescent="0.2">
      <c r="R704" s="9"/>
      <c r="S704" s="9"/>
      <c r="X704" s="10"/>
      <c r="Y704" s="10"/>
      <c r="Z704" s="10"/>
      <c r="AE704" s="10"/>
      <c r="AF704" s="10"/>
    </row>
    <row r="705" spans="18:32" ht="12.75" x14ac:dyDescent="0.2">
      <c r="R705" s="9"/>
      <c r="S705" s="9"/>
      <c r="X705" s="10"/>
      <c r="Y705" s="10"/>
      <c r="Z705" s="10"/>
      <c r="AE705" s="10"/>
      <c r="AF705" s="10"/>
    </row>
    <row r="706" spans="18:32" ht="12.75" x14ac:dyDescent="0.2">
      <c r="R706" s="9"/>
      <c r="S706" s="9"/>
      <c r="X706" s="10"/>
      <c r="Y706" s="10"/>
      <c r="Z706" s="10"/>
      <c r="AE706" s="10"/>
      <c r="AF706" s="10"/>
    </row>
    <row r="707" spans="18:32" ht="12.75" x14ac:dyDescent="0.2">
      <c r="R707" s="9"/>
      <c r="S707" s="9"/>
      <c r="X707" s="10"/>
      <c r="Y707" s="10"/>
      <c r="Z707" s="10"/>
      <c r="AE707" s="10"/>
      <c r="AF707" s="10"/>
    </row>
    <row r="708" spans="18:32" ht="12.75" x14ac:dyDescent="0.2">
      <c r="R708" s="9"/>
      <c r="S708" s="9"/>
      <c r="X708" s="10"/>
      <c r="Y708" s="10"/>
      <c r="Z708" s="10"/>
      <c r="AE708" s="10"/>
      <c r="AF708" s="10"/>
    </row>
    <row r="709" spans="18:32" ht="12.75" x14ac:dyDescent="0.2">
      <c r="R709" s="9"/>
      <c r="S709" s="9"/>
      <c r="X709" s="10"/>
      <c r="Y709" s="10"/>
      <c r="Z709" s="10"/>
      <c r="AE709" s="10"/>
      <c r="AF709" s="10"/>
    </row>
    <row r="710" spans="18:32" ht="12.75" x14ac:dyDescent="0.2">
      <c r="R710" s="9"/>
      <c r="S710" s="9"/>
      <c r="X710" s="10"/>
      <c r="Y710" s="10"/>
      <c r="Z710" s="10"/>
      <c r="AE710" s="10"/>
      <c r="AF710" s="10"/>
    </row>
    <row r="711" spans="18:32" ht="12.75" x14ac:dyDescent="0.2">
      <c r="R711" s="9"/>
      <c r="S711" s="9"/>
      <c r="X711" s="10"/>
      <c r="Y711" s="10"/>
      <c r="Z711" s="10"/>
      <c r="AE711" s="10"/>
      <c r="AF711" s="10"/>
    </row>
    <row r="712" spans="18:32" ht="12.75" x14ac:dyDescent="0.2">
      <c r="R712" s="9"/>
      <c r="S712" s="9"/>
      <c r="X712" s="10"/>
      <c r="Y712" s="10"/>
      <c r="Z712" s="10"/>
      <c r="AE712" s="10"/>
      <c r="AF712" s="10"/>
    </row>
    <row r="713" spans="18:32" ht="12.75" x14ac:dyDescent="0.2">
      <c r="R713" s="9"/>
      <c r="S713" s="9"/>
      <c r="X713" s="10"/>
      <c r="Y713" s="10"/>
      <c r="Z713" s="10"/>
      <c r="AE713" s="10"/>
      <c r="AF713" s="10"/>
    </row>
    <row r="714" spans="18:32" ht="12.75" x14ac:dyDescent="0.2">
      <c r="R714" s="9"/>
      <c r="S714" s="9"/>
      <c r="X714" s="10"/>
      <c r="Y714" s="10"/>
      <c r="Z714" s="10"/>
      <c r="AE714" s="10"/>
      <c r="AF714" s="10"/>
    </row>
    <row r="715" spans="18:32" ht="12.75" x14ac:dyDescent="0.2">
      <c r="R715" s="9"/>
      <c r="S715" s="9"/>
      <c r="X715" s="10"/>
      <c r="Y715" s="10"/>
      <c r="Z715" s="10"/>
      <c r="AE715" s="10"/>
      <c r="AF715" s="10"/>
    </row>
    <row r="716" spans="18:32" ht="12.75" x14ac:dyDescent="0.2">
      <c r="R716" s="9"/>
      <c r="S716" s="9"/>
      <c r="X716" s="10"/>
      <c r="Y716" s="10"/>
      <c r="Z716" s="10"/>
      <c r="AE716" s="10"/>
      <c r="AF716" s="10"/>
    </row>
    <row r="717" spans="18:32" ht="12.75" x14ac:dyDescent="0.2">
      <c r="R717" s="9"/>
      <c r="S717" s="9"/>
      <c r="X717" s="10"/>
      <c r="Y717" s="10"/>
      <c r="Z717" s="10"/>
      <c r="AE717" s="10"/>
      <c r="AF717" s="10"/>
    </row>
    <row r="718" spans="18:32" ht="12.75" x14ac:dyDescent="0.2">
      <c r="R718" s="9"/>
      <c r="S718" s="9"/>
      <c r="X718" s="10"/>
      <c r="Y718" s="10"/>
      <c r="Z718" s="10"/>
      <c r="AE718" s="10"/>
      <c r="AF718" s="10"/>
    </row>
    <row r="719" spans="18:32" ht="12.75" x14ac:dyDescent="0.2">
      <c r="R719" s="9"/>
      <c r="S719" s="9"/>
      <c r="X719" s="10"/>
      <c r="Y719" s="10"/>
      <c r="Z719" s="10"/>
      <c r="AE719" s="10"/>
      <c r="AF719" s="10"/>
    </row>
    <row r="720" spans="18:32" ht="12.75" x14ac:dyDescent="0.2">
      <c r="R720" s="9"/>
      <c r="S720" s="9"/>
      <c r="X720" s="10"/>
      <c r="Y720" s="10"/>
      <c r="Z720" s="10"/>
      <c r="AE720" s="10"/>
      <c r="AF720" s="10"/>
    </row>
    <row r="721" spans="18:32" ht="12.75" x14ac:dyDescent="0.2">
      <c r="R721" s="9"/>
      <c r="S721" s="9"/>
      <c r="X721" s="10"/>
      <c r="Y721" s="10"/>
      <c r="Z721" s="10"/>
      <c r="AE721" s="10"/>
      <c r="AF721" s="10"/>
    </row>
    <row r="722" spans="18:32" ht="12.75" x14ac:dyDescent="0.2">
      <c r="R722" s="9"/>
      <c r="S722" s="9"/>
      <c r="X722" s="10"/>
      <c r="Y722" s="10"/>
      <c r="Z722" s="10"/>
      <c r="AE722" s="10"/>
      <c r="AF722" s="10"/>
    </row>
    <row r="723" spans="18:32" ht="12.75" x14ac:dyDescent="0.2">
      <c r="R723" s="9"/>
      <c r="S723" s="9"/>
      <c r="X723" s="10"/>
      <c r="Y723" s="10"/>
      <c r="Z723" s="10"/>
      <c r="AE723" s="10"/>
      <c r="AF723" s="10"/>
    </row>
    <row r="724" spans="18:32" ht="12.75" x14ac:dyDescent="0.2">
      <c r="R724" s="9"/>
      <c r="S724" s="9"/>
      <c r="X724" s="10"/>
      <c r="Y724" s="10"/>
      <c r="Z724" s="10"/>
      <c r="AE724" s="10"/>
      <c r="AF724" s="10"/>
    </row>
    <row r="725" spans="18:32" ht="12.75" x14ac:dyDescent="0.2">
      <c r="R725" s="9"/>
      <c r="S725" s="9"/>
      <c r="X725" s="10"/>
      <c r="Y725" s="10"/>
      <c r="Z725" s="10"/>
      <c r="AE725" s="10"/>
      <c r="AF725" s="10"/>
    </row>
    <row r="726" spans="18:32" ht="12.75" x14ac:dyDescent="0.2">
      <c r="R726" s="9"/>
      <c r="S726" s="9"/>
      <c r="X726" s="10"/>
      <c r="Y726" s="10"/>
      <c r="Z726" s="10"/>
      <c r="AE726" s="10"/>
      <c r="AF726" s="10"/>
    </row>
    <row r="727" spans="18:32" ht="12.75" x14ac:dyDescent="0.2">
      <c r="R727" s="9"/>
      <c r="S727" s="9"/>
      <c r="X727" s="10"/>
      <c r="Y727" s="10"/>
      <c r="Z727" s="10"/>
      <c r="AE727" s="10"/>
      <c r="AF727" s="10"/>
    </row>
    <row r="728" spans="18:32" ht="12.75" x14ac:dyDescent="0.2">
      <c r="R728" s="9"/>
      <c r="S728" s="9"/>
      <c r="X728" s="10"/>
      <c r="Y728" s="10"/>
      <c r="Z728" s="10"/>
      <c r="AE728" s="10"/>
      <c r="AF728" s="10"/>
    </row>
    <row r="729" spans="18:32" ht="12.75" x14ac:dyDescent="0.2">
      <c r="R729" s="9"/>
      <c r="S729" s="9"/>
      <c r="X729" s="10"/>
      <c r="Y729" s="10"/>
      <c r="Z729" s="10"/>
      <c r="AE729" s="10"/>
      <c r="AF729" s="10"/>
    </row>
    <row r="730" spans="18:32" ht="12.75" x14ac:dyDescent="0.2">
      <c r="R730" s="9"/>
      <c r="S730" s="9"/>
      <c r="X730" s="10"/>
      <c r="Y730" s="10"/>
      <c r="Z730" s="10"/>
      <c r="AE730" s="10"/>
      <c r="AF730" s="10"/>
    </row>
    <row r="731" spans="18:32" ht="12.75" x14ac:dyDescent="0.2">
      <c r="R731" s="9"/>
      <c r="S731" s="9"/>
      <c r="X731" s="10"/>
      <c r="Y731" s="10"/>
      <c r="Z731" s="10"/>
      <c r="AE731" s="10"/>
      <c r="AF731" s="10"/>
    </row>
    <row r="732" spans="18:32" ht="12.75" x14ac:dyDescent="0.2">
      <c r="R732" s="9"/>
      <c r="S732" s="9"/>
      <c r="X732" s="10"/>
      <c r="Y732" s="10"/>
      <c r="Z732" s="10"/>
      <c r="AE732" s="10"/>
      <c r="AF732" s="10"/>
    </row>
    <row r="733" spans="18:32" ht="12.75" x14ac:dyDescent="0.2">
      <c r="R733" s="9"/>
      <c r="S733" s="9"/>
      <c r="X733" s="10"/>
      <c r="Y733" s="10"/>
      <c r="Z733" s="10"/>
      <c r="AE733" s="10"/>
      <c r="AF733" s="10"/>
    </row>
    <row r="734" spans="18:32" ht="12.75" x14ac:dyDescent="0.2">
      <c r="R734" s="9"/>
      <c r="S734" s="9"/>
      <c r="X734" s="10"/>
      <c r="Y734" s="10"/>
      <c r="Z734" s="10"/>
      <c r="AE734" s="10"/>
      <c r="AF734" s="10"/>
    </row>
    <row r="735" spans="18:32" ht="12.75" x14ac:dyDescent="0.2">
      <c r="R735" s="9"/>
      <c r="S735" s="9"/>
      <c r="X735" s="10"/>
      <c r="Y735" s="10"/>
      <c r="Z735" s="10"/>
      <c r="AE735" s="10"/>
      <c r="AF735" s="10"/>
    </row>
    <row r="736" spans="18:32" ht="12.75" x14ac:dyDescent="0.2">
      <c r="R736" s="9"/>
      <c r="S736" s="9"/>
      <c r="X736" s="10"/>
      <c r="Y736" s="10"/>
      <c r="Z736" s="10"/>
      <c r="AE736" s="10"/>
      <c r="AF736" s="10"/>
    </row>
    <row r="737" spans="18:32" ht="12.75" x14ac:dyDescent="0.2">
      <c r="R737" s="9"/>
      <c r="S737" s="9"/>
      <c r="X737" s="10"/>
      <c r="Y737" s="10"/>
      <c r="Z737" s="10"/>
      <c r="AE737" s="10"/>
      <c r="AF737" s="10"/>
    </row>
    <row r="738" spans="18:32" ht="12.75" x14ac:dyDescent="0.2">
      <c r="R738" s="9"/>
      <c r="S738" s="9"/>
      <c r="X738" s="10"/>
      <c r="Y738" s="10"/>
      <c r="Z738" s="10"/>
      <c r="AE738" s="10"/>
      <c r="AF738" s="10"/>
    </row>
    <row r="739" spans="18:32" ht="12.75" x14ac:dyDescent="0.2">
      <c r="R739" s="9"/>
      <c r="S739" s="9"/>
      <c r="X739" s="10"/>
      <c r="Y739" s="10"/>
      <c r="Z739" s="10"/>
      <c r="AE739" s="10"/>
      <c r="AF739" s="10"/>
    </row>
    <row r="740" spans="18:32" ht="12.75" x14ac:dyDescent="0.2">
      <c r="R740" s="9"/>
      <c r="S740" s="9"/>
      <c r="X740" s="10"/>
      <c r="Y740" s="10"/>
      <c r="Z740" s="10"/>
      <c r="AE740" s="10"/>
      <c r="AF740" s="10"/>
    </row>
    <row r="741" spans="18:32" ht="12.75" x14ac:dyDescent="0.2">
      <c r="R741" s="9"/>
      <c r="S741" s="9"/>
      <c r="X741" s="10"/>
      <c r="Y741" s="10"/>
      <c r="Z741" s="10"/>
      <c r="AE741" s="10"/>
      <c r="AF741" s="10"/>
    </row>
    <row r="742" spans="18:32" ht="12.75" x14ac:dyDescent="0.2">
      <c r="R742" s="9"/>
      <c r="S742" s="9"/>
      <c r="X742" s="10"/>
      <c r="Y742" s="10"/>
      <c r="Z742" s="10"/>
      <c r="AE742" s="10"/>
      <c r="AF742" s="10"/>
    </row>
    <row r="743" spans="18:32" ht="12.75" x14ac:dyDescent="0.2">
      <c r="R743" s="9"/>
      <c r="S743" s="9"/>
      <c r="X743" s="10"/>
      <c r="Y743" s="10"/>
      <c r="Z743" s="10"/>
      <c r="AE743" s="10"/>
      <c r="AF743" s="10"/>
    </row>
    <row r="744" spans="18:32" ht="12.75" x14ac:dyDescent="0.2">
      <c r="R744" s="9"/>
      <c r="S744" s="9"/>
      <c r="X744" s="10"/>
      <c r="Y744" s="10"/>
      <c r="Z744" s="10"/>
      <c r="AE744" s="10"/>
      <c r="AF744" s="10"/>
    </row>
    <row r="745" spans="18:32" ht="12.75" x14ac:dyDescent="0.2">
      <c r="R745" s="9"/>
      <c r="S745" s="9"/>
      <c r="X745" s="10"/>
      <c r="Y745" s="10"/>
      <c r="Z745" s="10"/>
      <c r="AE745" s="10"/>
      <c r="AF745" s="10"/>
    </row>
    <row r="746" spans="18:32" ht="12.75" x14ac:dyDescent="0.2">
      <c r="R746" s="9"/>
      <c r="S746" s="9"/>
      <c r="X746" s="10"/>
      <c r="Y746" s="10"/>
      <c r="Z746" s="10"/>
      <c r="AE746" s="10"/>
      <c r="AF746" s="10"/>
    </row>
    <row r="747" spans="18:32" ht="12.75" x14ac:dyDescent="0.2">
      <c r="R747" s="9"/>
      <c r="S747" s="9"/>
      <c r="X747" s="10"/>
      <c r="Y747" s="10"/>
      <c r="Z747" s="10"/>
      <c r="AE747" s="10"/>
      <c r="AF747" s="10"/>
    </row>
    <row r="748" spans="18:32" ht="12.75" x14ac:dyDescent="0.2">
      <c r="R748" s="9"/>
      <c r="S748" s="9"/>
      <c r="X748" s="10"/>
      <c r="Y748" s="10"/>
      <c r="Z748" s="10"/>
      <c r="AE748" s="10"/>
      <c r="AF748" s="10"/>
    </row>
    <row r="749" spans="18:32" ht="12.75" x14ac:dyDescent="0.2">
      <c r="R749" s="9"/>
      <c r="S749" s="9"/>
      <c r="X749" s="10"/>
      <c r="Y749" s="10"/>
      <c r="Z749" s="10"/>
      <c r="AE749" s="10"/>
      <c r="AF749" s="10"/>
    </row>
    <row r="750" spans="18:32" ht="12.75" x14ac:dyDescent="0.2">
      <c r="R750" s="9"/>
      <c r="S750" s="9"/>
      <c r="X750" s="10"/>
      <c r="Y750" s="10"/>
      <c r="Z750" s="10"/>
      <c r="AE750" s="10"/>
      <c r="AF750" s="10"/>
    </row>
    <row r="751" spans="18:32" ht="12.75" x14ac:dyDescent="0.2">
      <c r="R751" s="9"/>
      <c r="S751" s="9"/>
      <c r="X751" s="10"/>
      <c r="Y751" s="10"/>
      <c r="Z751" s="10"/>
      <c r="AE751" s="10"/>
      <c r="AF751" s="10"/>
    </row>
    <row r="752" spans="18:32" ht="12.75" x14ac:dyDescent="0.2">
      <c r="R752" s="9"/>
      <c r="S752" s="9"/>
      <c r="X752" s="10"/>
      <c r="Y752" s="10"/>
      <c r="Z752" s="10"/>
      <c r="AE752" s="10"/>
      <c r="AF752" s="10"/>
    </row>
    <row r="753" spans="18:32" ht="12.75" x14ac:dyDescent="0.2">
      <c r="R753" s="9"/>
      <c r="S753" s="9"/>
      <c r="X753" s="10"/>
      <c r="Y753" s="10"/>
      <c r="Z753" s="10"/>
      <c r="AE753" s="10"/>
      <c r="AF753" s="10"/>
    </row>
    <row r="754" spans="18:32" ht="12.75" x14ac:dyDescent="0.2">
      <c r="R754" s="9"/>
      <c r="S754" s="9"/>
      <c r="X754" s="10"/>
      <c r="Y754" s="10"/>
      <c r="Z754" s="10"/>
      <c r="AE754" s="10"/>
      <c r="AF754" s="10"/>
    </row>
    <row r="755" spans="18:32" ht="12.75" x14ac:dyDescent="0.2">
      <c r="R755" s="9"/>
      <c r="S755" s="9"/>
      <c r="X755" s="10"/>
      <c r="Y755" s="10"/>
      <c r="Z755" s="10"/>
      <c r="AE755" s="10"/>
      <c r="AF755" s="10"/>
    </row>
    <row r="756" spans="18:32" ht="12.75" x14ac:dyDescent="0.2">
      <c r="R756" s="9"/>
      <c r="S756" s="9"/>
      <c r="X756" s="10"/>
      <c r="Y756" s="10"/>
      <c r="Z756" s="10"/>
      <c r="AE756" s="10"/>
      <c r="AF756" s="10"/>
    </row>
    <row r="757" spans="18:32" ht="12.75" x14ac:dyDescent="0.2">
      <c r="R757" s="9"/>
      <c r="S757" s="9"/>
      <c r="X757" s="10"/>
      <c r="Y757" s="10"/>
      <c r="Z757" s="10"/>
      <c r="AE757" s="10"/>
      <c r="AF757" s="10"/>
    </row>
    <row r="758" spans="18:32" ht="12.75" x14ac:dyDescent="0.2">
      <c r="R758" s="9"/>
      <c r="S758" s="9"/>
      <c r="X758" s="10"/>
      <c r="Y758" s="10"/>
      <c r="Z758" s="10"/>
      <c r="AE758" s="10"/>
      <c r="AF758" s="10"/>
    </row>
    <row r="759" spans="18:32" ht="12.75" x14ac:dyDescent="0.2">
      <c r="R759" s="9"/>
      <c r="S759" s="9"/>
      <c r="X759" s="10"/>
      <c r="Y759" s="10"/>
      <c r="Z759" s="10"/>
      <c r="AE759" s="10"/>
      <c r="AF759" s="10"/>
    </row>
    <row r="760" spans="18:32" ht="12.75" x14ac:dyDescent="0.2">
      <c r="R760" s="9"/>
      <c r="S760" s="9"/>
      <c r="X760" s="10"/>
      <c r="Y760" s="10"/>
      <c r="Z760" s="10"/>
      <c r="AE760" s="10"/>
      <c r="AF760" s="10"/>
    </row>
    <row r="761" spans="18:32" ht="12.75" x14ac:dyDescent="0.2">
      <c r="R761" s="9"/>
      <c r="S761" s="9"/>
      <c r="X761" s="10"/>
      <c r="Y761" s="10"/>
      <c r="Z761" s="10"/>
      <c r="AE761" s="10"/>
      <c r="AF761" s="10"/>
    </row>
    <row r="762" spans="18:32" ht="12.75" x14ac:dyDescent="0.2">
      <c r="R762" s="9"/>
      <c r="S762" s="9"/>
      <c r="X762" s="10"/>
      <c r="Y762" s="10"/>
      <c r="Z762" s="10"/>
      <c r="AE762" s="10"/>
      <c r="AF762" s="10"/>
    </row>
    <row r="763" spans="18:32" ht="12.75" x14ac:dyDescent="0.2">
      <c r="R763" s="9"/>
      <c r="S763" s="9"/>
      <c r="X763" s="10"/>
      <c r="Y763" s="10"/>
      <c r="Z763" s="10"/>
      <c r="AE763" s="10"/>
      <c r="AF763" s="10"/>
    </row>
    <row r="764" spans="18:32" ht="12.75" x14ac:dyDescent="0.2">
      <c r="R764" s="9"/>
      <c r="S764" s="9"/>
      <c r="X764" s="10"/>
      <c r="Y764" s="10"/>
      <c r="Z764" s="10"/>
      <c r="AE764" s="10"/>
      <c r="AF764" s="10"/>
    </row>
    <row r="765" spans="18:32" ht="12.75" x14ac:dyDescent="0.2">
      <c r="R765" s="9"/>
      <c r="S765" s="9"/>
      <c r="X765" s="10"/>
      <c r="Y765" s="10"/>
      <c r="Z765" s="10"/>
      <c r="AE765" s="10"/>
      <c r="AF765" s="10"/>
    </row>
    <row r="766" spans="18:32" ht="12.75" x14ac:dyDescent="0.2">
      <c r="R766" s="9"/>
      <c r="S766" s="9"/>
      <c r="X766" s="10"/>
      <c r="Y766" s="10"/>
      <c r="Z766" s="10"/>
      <c r="AE766" s="10"/>
      <c r="AF766" s="10"/>
    </row>
    <row r="767" spans="18:32" ht="12.75" x14ac:dyDescent="0.2">
      <c r="R767" s="9"/>
      <c r="S767" s="9"/>
      <c r="X767" s="10"/>
      <c r="Y767" s="10"/>
      <c r="Z767" s="10"/>
      <c r="AE767" s="10"/>
      <c r="AF767" s="10"/>
    </row>
    <row r="768" spans="18:32" ht="12.75" x14ac:dyDescent="0.2">
      <c r="R768" s="9"/>
      <c r="S768" s="9"/>
      <c r="X768" s="10"/>
      <c r="Y768" s="10"/>
      <c r="Z768" s="10"/>
      <c r="AE768" s="10"/>
      <c r="AF768" s="10"/>
    </row>
    <row r="769" spans="18:32" ht="12.75" x14ac:dyDescent="0.2">
      <c r="R769" s="9"/>
      <c r="S769" s="9"/>
      <c r="X769" s="10"/>
      <c r="Y769" s="10"/>
      <c r="Z769" s="10"/>
      <c r="AE769" s="10"/>
      <c r="AF769" s="10"/>
    </row>
    <row r="770" spans="18:32" ht="12.75" x14ac:dyDescent="0.2">
      <c r="R770" s="9"/>
      <c r="S770" s="9"/>
      <c r="X770" s="10"/>
      <c r="Y770" s="10"/>
      <c r="Z770" s="10"/>
      <c r="AE770" s="10"/>
      <c r="AF770" s="10"/>
    </row>
    <row r="771" spans="18:32" ht="12.75" x14ac:dyDescent="0.2">
      <c r="R771" s="9"/>
      <c r="S771" s="9"/>
      <c r="X771" s="10"/>
      <c r="Y771" s="10"/>
      <c r="Z771" s="10"/>
      <c r="AE771" s="10"/>
      <c r="AF771" s="10"/>
    </row>
    <row r="772" spans="18:32" ht="12.75" x14ac:dyDescent="0.2">
      <c r="R772" s="9"/>
      <c r="S772" s="9"/>
      <c r="X772" s="10"/>
      <c r="Y772" s="10"/>
      <c r="Z772" s="10"/>
      <c r="AE772" s="10"/>
      <c r="AF772" s="10"/>
    </row>
    <row r="773" spans="18:32" ht="12.75" x14ac:dyDescent="0.2">
      <c r="R773" s="9"/>
      <c r="S773" s="9"/>
      <c r="X773" s="10"/>
      <c r="Y773" s="10"/>
      <c r="Z773" s="10"/>
      <c r="AE773" s="10"/>
      <c r="AF773" s="10"/>
    </row>
    <row r="774" spans="18:32" ht="12.75" x14ac:dyDescent="0.2">
      <c r="R774" s="9"/>
      <c r="S774" s="9"/>
      <c r="X774" s="10"/>
      <c r="Y774" s="10"/>
      <c r="Z774" s="10"/>
      <c r="AE774" s="10"/>
      <c r="AF774" s="10"/>
    </row>
    <row r="775" spans="18:32" ht="12.75" x14ac:dyDescent="0.2">
      <c r="R775" s="9"/>
      <c r="S775" s="9"/>
      <c r="X775" s="10"/>
      <c r="Y775" s="10"/>
      <c r="Z775" s="10"/>
      <c r="AE775" s="10"/>
      <c r="AF775" s="10"/>
    </row>
    <row r="776" spans="18:32" ht="12.75" x14ac:dyDescent="0.2">
      <c r="R776" s="9"/>
      <c r="S776" s="9"/>
      <c r="X776" s="10"/>
      <c r="Y776" s="10"/>
      <c r="Z776" s="10"/>
      <c r="AE776" s="10"/>
      <c r="AF776" s="10"/>
    </row>
    <row r="777" spans="18:32" ht="12.75" x14ac:dyDescent="0.2">
      <c r="R777" s="9"/>
      <c r="S777" s="9"/>
      <c r="X777" s="10"/>
      <c r="Y777" s="10"/>
      <c r="Z777" s="10"/>
      <c r="AE777" s="10"/>
      <c r="AF777" s="10"/>
    </row>
    <row r="778" spans="18:32" ht="12.75" x14ac:dyDescent="0.2">
      <c r="R778" s="9"/>
      <c r="S778" s="9"/>
      <c r="X778" s="10"/>
      <c r="Y778" s="10"/>
      <c r="Z778" s="10"/>
      <c r="AE778" s="10"/>
      <c r="AF778" s="10"/>
    </row>
    <row r="779" spans="18:32" ht="12.75" x14ac:dyDescent="0.2">
      <c r="R779" s="9"/>
      <c r="S779" s="9"/>
      <c r="X779" s="10"/>
      <c r="Y779" s="10"/>
      <c r="Z779" s="10"/>
      <c r="AE779" s="10"/>
      <c r="AF779" s="10"/>
    </row>
    <row r="780" spans="18:32" ht="12.75" x14ac:dyDescent="0.2">
      <c r="R780" s="9"/>
      <c r="S780" s="9"/>
      <c r="X780" s="10"/>
      <c r="Y780" s="10"/>
      <c r="Z780" s="10"/>
      <c r="AE780" s="10"/>
      <c r="AF780" s="10"/>
    </row>
    <row r="781" spans="18:32" ht="12.75" x14ac:dyDescent="0.2">
      <c r="R781" s="9"/>
      <c r="S781" s="9"/>
      <c r="X781" s="10"/>
      <c r="Y781" s="10"/>
      <c r="Z781" s="10"/>
      <c r="AE781" s="10"/>
      <c r="AF781" s="10"/>
    </row>
    <row r="782" spans="18:32" ht="12.75" x14ac:dyDescent="0.2">
      <c r="R782" s="9"/>
      <c r="S782" s="9"/>
      <c r="X782" s="10"/>
      <c r="Y782" s="10"/>
      <c r="Z782" s="10"/>
      <c r="AE782" s="10"/>
      <c r="AF782" s="10"/>
    </row>
    <row r="783" spans="18:32" ht="12.75" x14ac:dyDescent="0.2">
      <c r="R783" s="9"/>
      <c r="S783" s="9"/>
      <c r="X783" s="10"/>
      <c r="Y783" s="10"/>
      <c r="Z783" s="10"/>
      <c r="AE783" s="10"/>
      <c r="AF783" s="10"/>
    </row>
    <row r="784" spans="18:32" ht="12.75" x14ac:dyDescent="0.2">
      <c r="R784" s="9"/>
      <c r="S784" s="9"/>
      <c r="X784" s="10"/>
      <c r="Y784" s="10"/>
      <c r="Z784" s="10"/>
      <c r="AE784" s="10"/>
      <c r="AF784" s="10"/>
    </row>
    <row r="785" spans="18:32" ht="12.75" x14ac:dyDescent="0.2">
      <c r="R785" s="9"/>
      <c r="S785" s="9"/>
      <c r="X785" s="10"/>
      <c r="Y785" s="10"/>
      <c r="Z785" s="10"/>
      <c r="AE785" s="10"/>
      <c r="AF785" s="10"/>
    </row>
    <row r="786" spans="18:32" ht="12.75" x14ac:dyDescent="0.2">
      <c r="R786" s="9"/>
      <c r="S786" s="9"/>
      <c r="X786" s="10"/>
      <c r="Y786" s="10"/>
      <c r="Z786" s="10"/>
      <c r="AE786" s="10"/>
      <c r="AF786" s="10"/>
    </row>
    <row r="787" spans="18:32" ht="12.75" x14ac:dyDescent="0.2">
      <c r="R787" s="9"/>
      <c r="S787" s="9"/>
      <c r="X787" s="10"/>
      <c r="Y787" s="10"/>
      <c r="Z787" s="10"/>
      <c r="AE787" s="10"/>
      <c r="AF787" s="10"/>
    </row>
    <row r="788" spans="18:32" ht="12.75" x14ac:dyDescent="0.2">
      <c r="R788" s="9"/>
      <c r="S788" s="9"/>
      <c r="X788" s="10"/>
      <c r="Y788" s="10"/>
      <c r="Z788" s="10"/>
      <c r="AE788" s="10"/>
      <c r="AF788" s="10"/>
    </row>
    <row r="789" spans="18:32" ht="12.75" x14ac:dyDescent="0.2">
      <c r="R789" s="9"/>
      <c r="S789" s="9"/>
      <c r="X789" s="10"/>
      <c r="Y789" s="10"/>
      <c r="Z789" s="10"/>
      <c r="AE789" s="10"/>
      <c r="AF789" s="10"/>
    </row>
    <row r="790" spans="18:32" ht="12.75" x14ac:dyDescent="0.2">
      <c r="R790" s="9"/>
      <c r="S790" s="9"/>
      <c r="X790" s="10"/>
      <c r="Y790" s="10"/>
      <c r="Z790" s="10"/>
      <c r="AE790" s="10"/>
      <c r="AF790" s="10"/>
    </row>
    <row r="791" spans="18:32" ht="12.75" x14ac:dyDescent="0.2">
      <c r="R791" s="9"/>
      <c r="S791" s="9"/>
      <c r="X791" s="10"/>
      <c r="Y791" s="10"/>
      <c r="Z791" s="10"/>
      <c r="AE791" s="10"/>
      <c r="AF791" s="10"/>
    </row>
    <row r="792" spans="18:32" ht="12.75" x14ac:dyDescent="0.2">
      <c r="R792" s="9"/>
      <c r="S792" s="9"/>
      <c r="X792" s="10"/>
      <c r="Y792" s="10"/>
      <c r="Z792" s="10"/>
      <c r="AE792" s="10"/>
      <c r="AF792" s="10"/>
    </row>
    <row r="793" spans="18:32" ht="12.75" x14ac:dyDescent="0.2">
      <c r="R793" s="9"/>
      <c r="S793" s="9"/>
      <c r="X793" s="10"/>
      <c r="Y793" s="10"/>
      <c r="Z793" s="10"/>
      <c r="AE793" s="10"/>
      <c r="AF793" s="10"/>
    </row>
    <row r="794" spans="18:32" ht="12.75" x14ac:dyDescent="0.2">
      <c r="R794" s="9"/>
      <c r="S794" s="9"/>
      <c r="X794" s="10"/>
      <c r="Y794" s="10"/>
      <c r="Z794" s="10"/>
      <c r="AE794" s="10"/>
      <c r="AF794" s="10"/>
    </row>
    <row r="795" spans="18:32" ht="12.75" x14ac:dyDescent="0.2">
      <c r="R795" s="9"/>
      <c r="S795" s="9"/>
      <c r="X795" s="10"/>
      <c r="Y795" s="10"/>
      <c r="Z795" s="10"/>
      <c r="AE795" s="10"/>
      <c r="AF795" s="10"/>
    </row>
    <row r="796" spans="18:32" ht="12.75" x14ac:dyDescent="0.2">
      <c r="R796" s="9"/>
      <c r="S796" s="9"/>
      <c r="X796" s="10"/>
      <c r="Y796" s="10"/>
      <c r="Z796" s="10"/>
      <c r="AE796" s="10"/>
      <c r="AF796" s="10"/>
    </row>
    <row r="797" spans="18:32" ht="12.75" x14ac:dyDescent="0.2">
      <c r="R797" s="9"/>
      <c r="S797" s="9"/>
      <c r="X797" s="10"/>
      <c r="Y797" s="10"/>
      <c r="Z797" s="10"/>
      <c r="AE797" s="10"/>
      <c r="AF797" s="10"/>
    </row>
    <row r="798" spans="18:32" ht="12.75" x14ac:dyDescent="0.2">
      <c r="R798" s="9"/>
      <c r="S798" s="9"/>
      <c r="X798" s="10"/>
      <c r="Y798" s="10"/>
      <c r="Z798" s="10"/>
      <c r="AE798" s="10"/>
      <c r="AF798" s="10"/>
    </row>
    <row r="799" spans="18:32" ht="12.75" x14ac:dyDescent="0.2">
      <c r="R799" s="9"/>
      <c r="S799" s="9"/>
      <c r="X799" s="10"/>
      <c r="Y799" s="10"/>
      <c r="Z799" s="10"/>
      <c r="AE799" s="10"/>
      <c r="AF799" s="10"/>
    </row>
    <row r="800" spans="18:32" ht="12.75" x14ac:dyDescent="0.2">
      <c r="R800" s="9"/>
      <c r="S800" s="9"/>
      <c r="X800" s="10"/>
      <c r="Y800" s="10"/>
      <c r="Z800" s="10"/>
      <c r="AE800" s="10"/>
      <c r="AF800" s="10"/>
    </row>
    <row r="801" spans="18:32" ht="12.75" x14ac:dyDescent="0.2">
      <c r="R801" s="9"/>
      <c r="S801" s="9"/>
      <c r="X801" s="10"/>
      <c r="Y801" s="10"/>
      <c r="Z801" s="10"/>
      <c r="AE801" s="10"/>
      <c r="AF801" s="10"/>
    </row>
    <row r="802" spans="18:32" ht="12.75" x14ac:dyDescent="0.2">
      <c r="R802" s="9"/>
      <c r="S802" s="9"/>
      <c r="X802" s="10"/>
      <c r="Y802" s="10"/>
      <c r="Z802" s="10"/>
      <c r="AE802" s="10"/>
      <c r="AF802" s="10"/>
    </row>
    <row r="803" spans="18:32" ht="12.75" x14ac:dyDescent="0.2">
      <c r="R803" s="9"/>
      <c r="S803" s="9"/>
      <c r="X803" s="10"/>
      <c r="Y803" s="10"/>
      <c r="Z803" s="10"/>
      <c r="AE803" s="10"/>
      <c r="AF803" s="10"/>
    </row>
    <row r="804" spans="18:32" ht="12.75" x14ac:dyDescent="0.2">
      <c r="R804" s="9"/>
      <c r="S804" s="9"/>
      <c r="X804" s="10"/>
      <c r="Y804" s="10"/>
      <c r="Z804" s="10"/>
      <c r="AE804" s="10"/>
      <c r="AF804" s="10"/>
    </row>
    <row r="805" spans="18:32" ht="12.75" x14ac:dyDescent="0.2">
      <c r="R805" s="9"/>
      <c r="S805" s="9"/>
      <c r="X805" s="10"/>
      <c r="Y805" s="10"/>
      <c r="Z805" s="10"/>
      <c r="AE805" s="10"/>
      <c r="AF805" s="10"/>
    </row>
    <row r="806" spans="18:32" ht="12.75" x14ac:dyDescent="0.2">
      <c r="R806" s="9"/>
      <c r="S806" s="9"/>
      <c r="X806" s="10"/>
      <c r="Y806" s="10"/>
      <c r="Z806" s="10"/>
      <c r="AE806" s="10"/>
      <c r="AF806" s="10"/>
    </row>
    <row r="807" spans="18:32" ht="12.75" x14ac:dyDescent="0.2">
      <c r="R807" s="9"/>
      <c r="S807" s="9"/>
      <c r="X807" s="10"/>
      <c r="Y807" s="10"/>
      <c r="Z807" s="10"/>
      <c r="AE807" s="10"/>
      <c r="AF807" s="10"/>
    </row>
    <row r="808" spans="18:32" ht="12.75" x14ac:dyDescent="0.2">
      <c r="R808" s="9"/>
      <c r="S808" s="9"/>
      <c r="X808" s="10"/>
      <c r="Y808" s="10"/>
      <c r="Z808" s="10"/>
      <c r="AE808" s="10"/>
      <c r="AF808" s="10"/>
    </row>
    <row r="809" spans="18:32" ht="12.75" x14ac:dyDescent="0.2">
      <c r="R809" s="9"/>
      <c r="S809" s="9"/>
      <c r="X809" s="10"/>
      <c r="Y809" s="10"/>
      <c r="Z809" s="10"/>
      <c r="AE809" s="10"/>
      <c r="AF809" s="10"/>
    </row>
    <row r="810" spans="18:32" ht="12.75" x14ac:dyDescent="0.2">
      <c r="R810" s="9"/>
      <c r="S810" s="9"/>
      <c r="X810" s="10"/>
      <c r="Y810" s="10"/>
      <c r="Z810" s="10"/>
      <c r="AE810" s="10"/>
      <c r="AF810" s="10"/>
    </row>
    <row r="811" spans="18:32" ht="12.75" x14ac:dyDescent="0.2">
      <c r="R811" s="9"/>
      <c r="S811" s="9"/>
      <c r="X811" s="10"/>
      <c r="Y811" s="10"/>
      <c r="Z811" s="10"/>
      <c r="AE811" s="10"/>
      <c r="AF811" s="10"/>
    </row>
    <row r="812" spans="18:32" ht="12.75" x14ac:dyDescent="0.2">
      <c r="R812" s="9"/>
      <c r="S812" s="9"/>
      <c r="X812" s="10"/>
      <c r="Y812" s="10"/>
      <c r="Z812" s="10"/>
      <c r="AE812" s="10"/>
      <c r="AF812" s="10"/>
    </row>
    <row r="813" spans="18:32" ht="12.75" x14ac:dyDescent="0.2">
      <c r="R813" s="9"/>
      <c r="S813" s="9"/>
      <c r="X813" s="10"/>
      <c r="Y813" s="10"/>
      <c r="Z813" s="10"/>
      <c r="AE813" s="10"/>
      <c r="AF813" s="10"/>
    </row>
    <row r="814" spans="18:32" ht="12.75" x14ac:dyDescent="0.2">
      <c r="R814" s="9"/>
      <c r="S814" s="9"/>
      <c r="X814" s="10"/>
      <c r="Y814" s="10"/>
      <c r="Z814" s="10"/>
      <c r="AE814" s="10"/>
      <c r="AF814" s="10"/>
    </row>
    <row r="815" spans="18:32" ht="12.75" x14ac:dyDescent="0.2">
      <c r="R815" s="9"/>
      <c r="S815" s="9"/>
      <c r="X815" s="10"/>
      <c r="Y815" s="10"/>
      <c r="Z815" s="10"/>
      <c r="AE815" s="10"/>
      <c r="AF815" s="10"/>
    </row>
    <row r="816" spans="18:32" ht="12.75" x14ac:dyDescent="0.2">
      <c r="R816" s="9"/>
      <c r="S816" s="9"/>
      <c r="X816" s="10"/>
      <c r="Y816" s="10"/>
      <c r="Z816" s="10"/>
      <c r="AE816" s="10"/>
      <c r="AF816" s="10"/>
    </row>
    <row r="817" spans="18:32" ht="12.75" x14ac:dyDescent="0.2">
      <c r="R817" s="9"/>
      <c r="S817" s="9"/>
      <c r="X817" s="10"/>
      <c r="Y817" s="10"/>
      <c r="Z817" s="10"/>
      <c r="AE817" s="10"/>
      <c r="AF817" s="10"/>
    </row>
    <row r="818" spans="18:32" ht="12.75" x14ac:dyDescent="0.2">
      <c r="R818" s="9"/>
      <c r="S818" s="9"/>
      <c r="X818" s="10"/>
      <c r="Y818" s="10"/>
      <c r="Z818" s="10"/>
      <c r="AE818" s="10"/>
      <c r="AF818" s="10"/>
    </row>
    <row r="819" spans="18:32" ht="12.75" x14ac:dyDescent="0.2">
      <c r="R819" s="9"/>
      <c r="S819" s="9"/>
      <c r="X819" s="10"/>
      <c r="Y819" s="10"/>
      <c r="Z819" s="10"/>
      <c r="AE819" s="10"/>
      <c r="AF819" s="10"/>
    </row>
    <row r="820" spans="18:32" ht="12.75" x14ac:dyDescent="0.2">
      <c r="R820" s="9"/>
      <c r="S820" s="9"/>
      <c r="X820" s="10"/>
      <c r="Y820" s="10"/>
      <c r="Z820" s="10"/>
      <c r="AE820" s="10"/>
      <c r="AF820" s="10"/>
    </row>
    <row r="821" spans="18:32" ht="12.75" x14ac:dyDescent="0.2">
      <c r="R821" s="9"/>
      <c r="S821" s="9"/>
      <c r="X821" s="10"/>
      <c r="Y821" s="10"/>
      <c r="Z821" s="10"/>
      <c r="AE821" s="10"/>
      <c r="AF821" s="10"/>
    </row>
    <row r="822" spans="18:32" ht="12.75" x14ac:dyDescent="0.2">
      <c r="R822" s="9"/>
      <c r="S822" s="9"/>
      <c r="X822" s="10"/>
      <c r="Y822" s="10"/>
      <c r="Z822" s="10"/>
      <c r="AE822" s="10"/>
      <c r="AF822" s="10"/>
    </row>
    <row r="823" spans="18:32" ht="12.75" x14ac:dyDescent="0.2">
      <c r="R823" s="9"/>
      <c r="S823" s="9"/>
      <c r="X823" s="10"/>
      <c r="Y823" s="10"/>
      <c r="Z823" s="10"/>
      <c r="AE823" s="10"/>
      <c r="AF823" s="10"/>
    </row>
    <row r="824" spans="18:32" ht="12.75" x14ac:dyDescent="0.2">
      <c r="R824" s="9"/>
      <c r="S824" s="9"/>
      <c r="X824" s="10"/>
      <c r="Y824" s="10"/>
      <c r="Z824" s="10"/>
      <c r="AE824" s="10"/>
      <c r="AF824" s="10"/>
    </row>
    <row r="825" spans="18:32" ht="12.75" x14ac:dyDescent="0.2">
      <c r="R825" s="9"/>
      <c r="S825" s="9"/>
      <c r="X825" s="10"/>
      <c r="Y825" s="10"/>
      <c r="Z825" s="10"/>
      <c r="AE825" s="10"/>
      <c r="AF825" s="10"/>
    </row>
    <row r="826" spans="18:32" ht="12.75" x14ac:dyDescent="0.2">
      <c r="R826" s="9"/>
      <c r="S826" s="9"/>
      <c r="X826" s="10"/>
      <c r="Y826" s="10"/>
      <c r="Z826" s="10"/>
      <c r="AE826" s="10"/>
      <c r="AF826" s="10"/>
    </row>
    <row r="827" spans="18:32" ht="12.75" x14ac:dyDescent="0.2">
      <c r="R827" s="9"/>
      <c r="S827" s="9"/>
      <c r="X827" s="10"/>
      <c r="Y827" s="10"/>
      <c r="Z827" s="10"/>
      <c r="AE827" s="10"/>
      <c r="AF827" s="10"/>
    </row>
    <row r="828" spans="18:32" ht="12.75" x14ac:dyDescent="0.2">
      <c r="R828" s="9"/>
      <c r="S828" s="9"/>
      <c r="X828" s="10"/>
      <c r="Y828" s="10"/>
      <c r="Z828" s="10"/>
      <c r="AE828" s="10"/>
      <c r="AF828" s="10"/>
    </row>
    <row r="829" spans="18:32" ht="12.75" x14ac:dyDescent="0.2">
      <c r="R829" s="9"/>
      <c r="S829" s="9"/>
      <c r="X829" s="10"/>
      <c r="Y829" s="10"/>
      <c r="Z829" s="10"/>
      <c r="AE829" s="10"/>
      <c r="AF829" s="10"/>
    </row>
    <row r="830" spans="18:32" ht="12.75" x14ac:dyDescent="0.2">
      <c r="R830" s="9"/>
      <c r="S830" s="9"/>
      <c r="X830" s="10"/>
      <c r="Y830" s="10"/>
      <c r="Z830" s="10"/>
      <c r="AE830" s="10"/>
      <c r="AF830" s="10"/>
    </row>
    <row r="831" spans="18:32" ht="12.75" x14ac:dyDescent="0.2">
      <c r="R831" s="9"/>
      <c r="S831" s="9"/>
      <c r="X831" s="10"/>
      <c r="Y831" s="10"/>
      <c r="Z831" s="10"/>
      <c r="AE831" s="10"/>
      <c r="AF831" s="10"/>
    </row>
    <row r="832" spans="18:32" ht="12.75" x14ac:dyDescent="0.2">
      <c r="R832" s="9"/>
      <c r="S832" s="9"/>
      <c r="X832" s="10"/>
      <c r="Y832" s="10"/>
      <c r="Z832" s="10"/>
      <c r="AE832" s="10"/>
      <c r="AF832" s="10"/>
    </row>
    <row r="833" spans="18:32" ht="12.75" x14ac:dyDescent="0.2">
      <c r="R833" s="9"/>
      <c r="S833" s="9"/>
      <c r="X833" s="10"/>
      <c r="Y833" s="10"/>
      <c r="Z833" s="10"/>
      <c r="AE833" s="10"/>
      <c r="AF833" s="10"/>
    </row>
    <row r="834" spans="18:32" ht="12.75" x14ac:dyDescent="0.2">
      <c r="R834" s="9"/>
      <c r="S834" s="9"/>
      <c r="X834" s="10"/>
      <c r="Y834" s="10"/>
      <c r="Z834" s="10"/>
      <c r="AE834" s="10"/>
      <c r="AF834" s="10"/>
    </row>
    <row r="835" spans="18:32" ht="12.75" x14ac:dyDescent="0.2">
      <c r="R835" s="9"/>
      <c r="S835" s="9"/>
      <c r="X835" s="10"/>
      <c r="Y835" s="10"/>
      <c r="Z835" s="10"/>
      <c r="AE835" s="10"/>
      <c r="AF835" s="10"/>
    </row>
    <row r="836" spans="18:32" ht="12.75" x14ac:dyDescent="0.2">
      <c r="R836" s="9"/>
      <c r="S836" s="9"/>
      <c r="X836" s="10"/>
      <c r="Y836" s="10"/>
      <c r="Z836" s="10"/>
      <c r="AE836" s="10"/>
      <c r="AF836" s="10"/>
    </row>
    <row r="837" spans="18:32" ht="12.75" x14ac:dyDescent="0.2">
      <c r="R837" s="9"/>
      <c r="S837" s="9"/>
      <c r="X837" s="10"/>
      <c r="Y837" s="10"/>
      <c r="Z837" s="10"/>
      <c r="AE837" s="10"/>
      <c r="AF837" s="10"/>
    </row>
    <row r="838" spans="18:32" ht="12.75" x14ac:dyDescent="0.2">
      <c r="R838" s="9"/>
      <c r="S838" s="9"/>
      <c r="X838" s="10"/>
      <c r="Y838" s="10"/>
      <c r="Z838" s="10"/>
      <c r="AE838" s="10"/>
      <c r="AF838" s="10"/>
    </row>
    <row r="839" spans="18:32" ht="12.75" x14ac:dyDescent="0.2">
      <c r="R839" s="9"/>
      <c r="S839" s="9"/>
      <c r="X839" s="10"/>
      <c r="Y839" s="10"/>
      <c r="Z839" s="10"/>
      <c r="AE839" s="10"/>
      <c r="AF839" s="10"/>
    </row>
    <row r="840" spans="18:32" ht="12.75" x14ac:dyDescent="0.2">
      <c r="R840" s="9"/>
      <c r="S840" s="9"/>
      <c r="X840" s="10"/>
      <c r="Y840" s="10"/>
      <c r="Z840" s="10"/>
      <c r="AE840" s="10"/>
      <c r="AF840" s="10"/>
    </row>
    <row r="841" spans="18:32" ht="12.75" x14ac:dyDescent="0.2">
      <c r="R841" s="9"/>
      <c r="S841" s="9"/>
      <c r="X841" s="10"/>
      <c r="Y841" s="10"/>
      <c r="Z841" s="10"/>
      <c r="AE841" s="10"/>
      <c r="AF841" s="10"/>
    </row>
    <row r="842" spans="18:32" ht="12.75" x14ac:dyDescent="0.2">
      <c r="R842" s="9"/>
      <c r="S842" s="9"/>
      <c r="X842" s="10"/>
      <c r="Y842" s="10"/>
      <c r="Z842" s="10"/>
      <c r="AE842" s="10"/>
      <c r="AF842" s="10"/>
    </row>
    <row r="843" spans="18:32" ht="12.75" x14ac:dyDescent="0.2">
      <c r="R843" s="9"/>
      <c r="S843" s="9"/>
      <c r="X843" s="10"/>
      <c r="Y843" s="10"/>
      <c r="Z843" s="10"/>
      <c r="AE843" s="10"/>
      <c r="AF843" s="10"/>
    </row>
    <row r="844" spans="18:32" ht="12.75" x14ac:dyDescent="0.2">
      <c r="R844" s="9"/>
      <c r="S844" s="9"/>
      <c r="X844" s="10"/>
      <c r="Y844" s="10"/>
      <c r="Z844" s="10"/>
      <c r="AE844" s="10"/>
      <c r="AF844" s="10"/>
    </row>
    <row r="845" spans="18:32" ht="12.75" x14ac:dyDescent="0.2">
      <c r="R845" s="9"/>
      <c r="S845" s="9"/>
      <c r="X845" s="10"/>
      <c r="Y845" s="10"/>
      <c r="Z845" s="10"/>
      <c r="AE845" s="10"/>
      <c r="AF845" s="10"/>
    </row>
    <row r="846" spans="18:32" ht="12.75" x14ac:dyDescent="0.2">
      <c r="R846" s="9"/>
      <c r="S846" s="9"/>
      <c r="X846" s="10"/>
      <c r="Y846" s="10"/>
      <c r="Z846" s="10"/>
      <c r="AE846" s="10"/>
      <c r="AF846" s="10"/>
    </row>
    <row r="847" spans="18:32" ht="12.75" x14ac:dyDescent="0.2">
      <c r="R847" s="9"/>
      <c r="S847" s="9"/>
      <c r="X847" s="10"/>
      <c r="Y847" s="10"/>
      <c r="Z847" s="10"/>
      <c r="AE847" s="10"/>
      <c r="AF847" s="10"/>
    </row>
    <row r="848" spans="18:32" ht="12.75" x14ac:dyDescent="0.2">
      <c r="R848" s="9"/>
      <c r="S848" s="9"/>
      <c r="X848" s="10"/>
      <c r="Y848" s="10"/>
      <c r="Z848" s="10"/>
      <c r="AE848" s="10"/>
      <c r="AF848" s="10"/>
    </row>
    <row r="849" spans="18:32" ht="12.75" x14ac:dyDescent="0.2">
      <c r="R849" s="9"/>
      <c r="S849" s="9"/>
      <c r="X849" s="10"/>
      <c r="Y849" s="10"/>
      <c r="Z849" s="10"/>
      <c r="AE849" s="10"/>
      <c r="AF849" s="10"/>
    </row>
    <row r="850" spans="18:32" ht="12.75" x14ac:dyDescent="0.2">
      <c r="R850" s="9"/>
      <c r="S850" s="9"/>
      <c r="X850" s="10"/>
      <c r="Y850" s="10"/>
      <c r="Z850" s="10"/>
      <c r="AE850" s="10"/>
      <c r="AF850" s="10"/>
    </row>
    <row r="851" spans="18:32" ht="12.75" x14ac:dyDescent="0.2">
      <c r="R851" s="9"/>
      <c r="S851" s="9"/>
      <c r="X851" s="10"/>
      <c r="Y851" s="10"/>
      <c r="Z851" s="10"/>
      <c r="AE851" s="10"/>
      <c r="AF851" s="10"/>
    </row>
    <row r="852" spans="18:32" ht="12.75" x14ac:dyDescent="0.2">
      <c r="R852" s="9"/>
      <c r="S852" s="9"/>
      <c r="X852" s="10"/>
      <c r="Y852" s="10"/>
      <c r="Z852" s="10"/>
      <c r="AE852" s="10"/>
      <c r="AF852" s="10"/>
    </row>
    <row r="853" spans="18:32" ht="12.75" x14ac:dyDescent="0.2">
      <c r="R853" s="9"/>
      <c r="S853" s="9"/>
      <c r="X853" s="10"/>
      <c r="Y853" s="10"/>
      <c r="Z853" s="10"/>
      <c r="AE853" s="10"/>
      <c r="AF853" s="10"/>
    </row>
    <row r="854" spans="18:32" ht="12.75" x14ac:dyDescent="0.2">
      <c r="R854" s="9"/>
      <c r="S854" s="9"/>
      <c r="X854" s="10"/>
      <c r="Y854" s="10"/>
      <c r="Z854" s="10"/>
      <c r="AE854" s="10"/>
      <c r="AF854" s="10"/>
    </row>
    <row r="855" spans="18:32" ht="12.75" x14ac:dyDescent="0.2">
      <c r="R855" s="9"/>
      <c r="S855" s="9"/>
      <c r="X855" s="10"/>
      <c r="Y855" s="10"/>
      <c r="Z855" s="10"/>
      <c r="AE855" s="10"/>
      <c r="AF855" s="10"/>
    </row>
    <row r="856" spans="18:32" ht="12.75" x14ac:dyDescent="0.2">
      <c r="R856" s="9"/>
      <c r="S856" s="9"/>
      <c r="X856" s="10"/>
      <c r="Y856" s="10"/>
      <c r="Z856" s="10"/>
      <c r="AE856" s="10"/>
      <c r="AF856" s="10"/>
    </row>
    <row r="857" spans="18:32" ht="12.75" x14ac:dyDescent="0.2">
      <c r="R857" s="9"/>
      <c r="S857" s="9"/>
      <c r="X857" s="10"/>
      <c r="Y857" s="10"/>
      <c r="Z857" s="10"/>
      <c r="AE857" s="10"/>
      <c r="AF857" s="10"/>
    </row>
    <row r="858" spans="18:32" ht="12.75" x14ac:dyDescent="0.2">
      <c r="R858" s="9"/>
      <c r="S858" s="9"/>
      <c r="X858" s="10"/>
      <c r="Y858" s="10"/>
      <c r="Z858" s="10"/>
      <c r="AE858" s="10"/>
      <c r="AF858" s="10"/>
    </row>
    <row r="859" spans="18:32" ht="12.75" x14ac:dyDescent="0.2">
      <c r="R859" s="9"/>
      <c r="S859" s="9"/>
      <c r="X859" s="10"/>
      <c r="Y859" s="10"/>
      <c r="Z859" s="10"/>
      <c r="AE859" s="10"/>
      <c r="AF859" s="10"/>
    </row>
    <row r="860" spans="18:32" ht="12.75" x14ac:dyDescent="0.2">
      <c r="R860" s="9"/>
      <c r="S860" s="9"/>
      <c r="X860" s="10"/>
      <c r="Y860" s="10"/>
      <c r="Z860" s="10"/>
      <c r="AE860" s="10"/>
      <c r="AF860" s="10"/>
    </row>
    <row r="861" spans="18:32" ht="12.75" x14ac:dyDescent="0.2">
      <c r="R861" s="9"/>
      <c r="S861" s="9"/>
      <c r="X861" s="10"/>
      <c r="Y861" s="10"/>
      <c r="Z861" s="10"/>
      <c r="AE861" s="10"/>
      <c r="AF861" s="10"/>
    </row>
    <row r="862" spans="18:32" ht="12.75" x14ac:dyDescent="0.2">
      <c r="R862" s="9"/>
      <c r="S862" s="9"/>
      <c r="X862" s="10"/>
      <c r="Y862" s="10"/>
      <c r="Z862" s="10"/>
      <c r="AE862" s="10"/>
      <c r="AF862" s="10"/>
    </row>
    <row r="863" spans="18:32" ht="12.75" x14ac:dyDescent="0.2">
      <c r="R863" s="9"/>
      <c r="S863" s="9"/>
      <c r="X863" s="10"/>
      <c r="Y863" s="10"/>
      <c r="Z863" s="10"/>
      <c r="AE863" s="10"/>
      <c r="AF863" s="10"/>
    </row>
    <row r="864" spans="18:32" ht="12.75" x14ac:dyDescent="0.2">
      <c r="R864" s="9"/>
      <c r="S864" s="9"/>
      <c r="X864" s="10"/>
      <c r="Y864" s="10"/>
      <c r="Z864" s="10"/>
      <c r="AE864" s="10"/>
      <c r="AF864" s="10"/>
    </row>
    <row r="865" spans="18:32" ht="12.75" x14ac:dyDescent="0.2">
      <c r="R865" s="9"/>
      <c r="S865" s="9"/>
      <c r="X865" s="10"/>
      <c r="Y865" s="10"/>
      <c r="Z865" s="10"/>
      <c r="AE865" s="10"/>
      <c r="AF865" s="10"/>
    </row>
    <row r="866" spans="18:32" ht="12.75" x14ac:dyDescent="0.2">
      <c r="R866" s="9"/>
      <c r="S866" s="9"/>
      <c r="X866" s="10"/>
      <c r="Y866" s="10"/>
      <c r="Z866" s="10"/>
      <c r="AE866" s="10"/>
      <c r="AF866" s="10"/>
    </row>
    <row r="867" spans="18:32" ht="12.75" x14ac:dyDescent="0.2">
      <c r="R867" s="9"/>
      <c r="S867" s="9"/>
      <c r="X867" s="10"/>
      <c r="Y867" s="10"/>
      <c r="Z867" s="10"/>
      <c r="AE867" s="10"/>
      <c r="AF867" s="10"/>
    </row>
    <row r="868" spans="18:32" ht="12.75" x14ac:dyDescent="0.2">
      <c r="R868" s="9"/>
      <c r="S868" s="9"/>
      <c r="X868" s="10"/>
      <c r="Y868" s="10"/>
      <c r="Z868" s="10"/>
      <c r="AE868" s="10"/>
      <c r="AF868" s="10"/>
    </row>
    <row r="869" spans="18:32" ht="12.75" x14ac:dyDescent="0.2">
      <c r="R869" s="9"/>
      <c r="S869" s="9"/>
      <c r="X869" s="10"/>
      <c r="Y869" s="10"/>
      <c r="Z869" s="10"/>
      <c r="AE869" s="10"/>
      <c r="AF869" s="10"/>
    </row>
    <row r="870" spans="18:32" ht="12.75" x14ac:dyDescent="0.2">
      <c r="R870" s="9"/>
      <c r="S870" s="9"/>
      <c r="X870" s="10"/>
      <c r="Y870" s="10"/>
      <c r="Z870" s="10"/>
      <c r="AE870" s="10"/>
      <c r="AF870" s="10"/>
    </row>
    <row r="871" spans="18:32" ht="12.75" x14ac:dyDescent="0.2">
      <c r="R871" s="9"/>
      <c r="S871" s="9"/>
      <c r="X871" s="10"/>
      <c r="Y871" s="10"/>
      <c r="Z871" s="10"/>
      <c r="AE871" s="10"/>
      <c r="AF871" s="10"/>
    </row>
    <row r="872" spans="18:32" ht="12.75" x14ac:dyDescent="0.2">
      <c r="R872" s="9"/>
      <c r="S872" s="9"/>
      <c r="X872" s="10"/>
      <c r="Y872" s="10"/>
      <c r="Z872" s="10"/>
      <c r="AE872" s="10"/>
      <c r="AF872" s="10"/>
    </row>
    <row r="873" spans="18:32" ht="12.75" x14ac:dyDescent="0.2">
      <c r="R873" s="9"/>
      <c r="S873" s="9"/>
      <c r="X873" s="10"/>
      <c r="Y873" s="10"/>
      <c r="Z873" s="10"/>
      <c r="AE873" s="10"/>
      <c r="AF873" s="10"/>
    </row>
    <row r="874" spans="18:32" ht="12.75" x14ac:dyDescent="0.2">
      <c r="R874" s="9"/>
      <c r="S874" s="9"/>
      <c r="X874" s="10"/>
      <c r="Y874" s="10"/>
      <c r="Z874" s="10"/>
      <c r="AE874" s="10"/>
      <c r="AF874" s="10"/>
    </row>
    <row r="875" spans="18:32" ht="12.75" x14ac:dyDescent="0.2">
      <c r="R875" s="9"/>
      <c r="S875" s="9"/>
      <c r="X875" s="10"/>
      <c r="Y875" s="10"/>
      <c r="Z875" s="10"/>
      <c r="AE875" s="10"/>
      <c r="AF875" s="10"/>
    </row>
    <row r="876" spans="18:32" ht="12.75" x14ac:dyDescent="0.2">
      <c r="R876" s="9"/>
      <c r="S876" s="9"/>
      <c r="X876" s="10"/>
      <c r="Y876" s="10"/>
      <c r="Z876" s="10"/>
      <c r="AE876" s="10"/>
      <c r="AF876" s="10"/>
    </row>
    <row r="877" spans="18:32" ht="12.75" x14ac:dyDescent="0.2">
      <c r="R877" s="9"/>
      <c r="S877" s="9"/>
      <c r="X877" s="10"/>
      <c r="Y877" s="10"/>
      <c r="Z877" s="10"/>
      <c r="AE877" s="10"/>
      <c r="AF877" s="10"/>
    </row>
    <row r="878" spans="18:32" ht="12.75" x14ac:dyDescent="0.2">
      <c r="R878" s="9"/>
      <c r="S878" s="9"/>
      <c r="X878" s="10"/>
      <c r="Y878" s="10"/>
      <c r="Z878" s="10"/>
      <c r="AE878" s="10"/>
      <c r="AF878" s="10"/>
    </row>
    <row r="879" spans="18:32" ht="12.75" x14ac:dyDescent="0.2">
      <c r="R879" s="9"/>
      <c r="S879" s="9"/>
      <c r="X879" s="10"/>
      <c r="Y879" s="10"/>
      <c r="Z879" s="10"/>
      <c r="AE879" s="10"/>
      <c r="AF879" s="10"/>
    </row>
    <row r="880" spans="18:32" ht="12.75" x14ac:dyDescent="0.2">
      <c r="R880" s="9"/>
      <c r="S880" s="9"/>
      <c r="X880" s="10"/>
      <c r="Y880" s="10"/>
      <c r="Z880" s="10"/>
      <c r="AE880" s="10"/>
      <c r="AF880" s="10"/>
    </row>
    <row r="881" spans="18:32" ht="12.75" x14ac:dyDescent="0.2">
      <c r="R881" s="9"/>
      <c r="S881" s="9"/>
      <c r="X881" s="10"/>
      <c r="Y881" s="10"/>
      <c r="Z881" s="10"/>
      <c r="AE881" s="10"/>
      <c r="AF881" s="10"/>
    </row>
    <row r="882" spans="18:32" ht="12.75" x14ac:dyDescent="0.2">
      <c r="R882" s="9"/>
      <c r="S882" s="9"/>
      <c r="X882" s="10"/>
      <c r="Y882" s="10"/>
      <c r="Z882" s="10"/>
      <c r="AE882" s="10"/>
      <c r="AF882" s="10"/>
    </row>
    <row r="883" spans="18:32" ht="12.75" x14ac:dyDescent="0.2">
      <c r="R883" s="9"/>
      <c r="S883" s="9"/>
      <c r="X883" s="10"/>
      <c r="Y883" s="10"/>
      <c r="Z883" s="10"/>
      <c r="AE883" s="10"/>
      <c r="AF883" s="10"/>
    </row>
    <row r="884" spans="18:32" ht="12.75" x14ac:dyDescent="0.2">
      <c r="R884" s="9"/>
      <c r="S884" s="9"/>
      <c r="X884" s="10"/>
      <c r="Y884" s="10"/>
      <c r="Z884" s="10"/>
      <c r="AE884" s="10"/>
      <c r="AF884" s="10"/>
    </row>
    <row r="885" spans="18:32" ht="12.75" x14ac:dyDescent="0.2">
      <c r="R885" s="9"/>
      <c r="S885" s="9"/>
      <c r="X885" s="10"/>
      <c r="Y885" s="10"/>
      <c r="Z885" s="10"/>
      <c r="AE885" s="10"/>
      <c r="AF885" s="10"/>
    </row>
    <row r="886" spans="18:32" ht="12.75" x14ac:dyDescent="0.2">
      <c r="R886" s="9"/>
      <c r="S886" s="9"/>
      <c r="X886" s="10"/>
      <c r="Y886" s="10"/>
      <c r="Z886" s="10"/>
      <c r="AE886" s="10"/>
      <c r="AF886" s="10"/>
    </row>
    <row r="887" spans="18:32" ht="12.75" x14ac:dyDescent="0.2">
      <c r="R887" s="9"/>
      <c r="S887" s="9"/>
      <c r="X887" s="10"/>
      <c r="Y887" s="10"/>
      <c r="Z887" s="10"/>
      <c r="AE887" s="10"/>
      <c r="AF887" s="10"/>
    </row>
    <row r="888" spans="18:32" ht="12.75" x14ac:dyDescent="0.2">
      <c r="R888" s="9"/>
      <c r="S888" s="9"/>
      <c r="X888" s="10"/>
      <c r="Y888" s="10"/>
      <c r="Z888" s="10"/>
      <c r="AE888" s="10"/>
      <c r="AF888" s="10"/>
    </row>
    <row r="889" spans="18:32" ht="12.75" x14ac:dyDescent="0.2">
      <c r="R889" s="9"/>
      <c r="S889" s="9"/>
      <c r="X889" s="10"/>
      <c r="Y889" s="10"/>
      <c r="Z889" s="10"/>
      <c r="AE889" s="10"/>
      <c r="AF889" s="10"/>
    </row>
    <row r="890" spans="18:32" ht="12.75" x14ac:dyDescent="0.2">
      <c r="R890" s="9"/>
      <c r="S890" s="9"/>
      <c r="X890" s="10"/>
      <c r="Y890" s="10"/>
      <c r="Z890" s="10"/>
      <c r="AE890" s="10"/>
      <c r="AF890" s="10"/>
    </row>
    <row r="891" spans="18:32" ht="12.75" x14ac:dyDescent="0.2">
      <c r="R891" s="9"/>
      <c r="S891" s="9"/>
      <c r="X891" s="10"/>
      <c r="Y891" s="10"/>
      <c r="Z891" s="10"/>
      <c r="AE891" s="10"/>
      <c r="AF891" s="10"/>
    </row>
    <row r="892" spans="18:32" ht="12.75" x14ac:dyDescent="0.2">
      <c r="R892" s="9"/>
      <c r="S892" s="9"/>
      <c r="X892" s="10"/>
      <c r="Y892" s="10"/>
      <c r="Z892" s="10"/>
      <c r="AE892" s="10"/>
      <c r="AF892" s="10"/>
    </row>
    <row r="893" spans="18:32" ht="12.75" x14ac:dyDescent="0.2">
      <c r="R893" s="9"/>
      <c r="S893" s="9"/>
      <c r="X893" s="10"/>
      <c r="Y893" s="10"/>
      <c r="Z893" s="10"/>
      <c r="AE893" s="10"/>
      <c r="AF893" s="10"/>
    </row>
    <row r="894" spans="18:32" ht="12.75" x14ac:dyDescent="0.2">
      <c r="R894" s="9"/>
      <c r="S894" s="9"/>
      <c r="X894" s="10"/>
      <c r="Y894" s="10"/>
      <c r="Z894" s="10"/>
      <c r="AE894" s="10"/>
      <c r="AF894" s="10"/>
    </row>
    <row r="895" spans="18:32" ht="12.75" x14ac:dyDescent="0.2">
      <c r="R895" s="9"/>
      <c r="S895" s="9"/>
      <c r="X895" s="10"/>
      <c r="Y895" s="10"/>
      <c r="Z895" s="10"/>
      <c r="AE895" s="10"/>
      <c r="AF895" s="10"/>
    </row>
    <row r="896" spans="18:32" ht="12.75" x14ac:dyDescent="0.2">
      <c r="R896" s="9"/>
      <c r="S896" s="9"/>
      <c r="X896" s="10"/>
      <c r="Y896" s="10"/>
      <c r="Z896" s="10"/>
      <c r="AE896" s="10"/>
      <c r="AF896" s="10"/>
    </row>
    <row r="897" spans="18:32" ht="12.75" x14ac:dyDescent="0.2">
      <c r="R897" s="9"/>
      <c r="S897" s="9"/>
      <c r="X897" s="10"/>
      <c r="Y897" s="10"/>
      <c r="Z897" s="10"/>
      <c r="AE897" s="10"/>
      <c r="AF897" s="10"/>
    </row>
    <row r="898" spans="18:32" ht="12.75" x14ac:dyDescent="0.2">
      <c r="R898" s="9"/>
      <c r="S898" s="9"/>
      <c r="X898" s="10"/>
      <c r="Y898" s="10"/>
      <c r="Z898" s="10"/>
      <c r="AE898" s="10"/>
      <c r="AF898" s="10"/>
    </row>
    <row r="899" spans="18:32" ht="12.75" x14ac:dyDescent="0.2">
      <c r="R899" s="9"/>
      <c r="S899" s="9"/>
      <c r="X899" s="10"/>
      <c r="Y899" s="10"/>
      <c r="Z899" s="10"/>
      <c r="AE899" s="10"/>
      <c r="AF899" s="10"/>
    </row>
    <row r="900" spans="18:32" ht="12.75" x14ac:dyDescent="0.2">
      <c r="R900" s="9"/>
      <c r="S900" s="9"/>
      <c r="X900" s="10"/>
      <c r="Y900" s="10"/>
      <c r="Z900" s="10"/>
      <c r="AE900" s="10"/>
      <c r="AF900" s="10"/>
    </row>
    <row r="901" spans="18:32" ht="12.75" x14ac:dyDescent="0.2">
      <c r="R901" s="9"/>
      <c r="S901" s="9"/>
      <c r="X901" s="10"/>
      <c r="Y901" s="10"/>
      <c r="Z901" s="10"/>
      <c r="AE901" s="10"/>
      <c r="AF901" s="10"/>
    </row>
    <row r="902" spans="18:32" ht="12.75" x14ac:dyDescent="0.2">
      <c r="R902" s="9"/>
      <c r="S902" s="9"/>
      <c r="X902" s="10"/>
      <c r="Y902" s="10"/>
      <c r="Z902" s="10"/>
      <c r="AE902" s="10"/>
      <c r="AF902" s="10"/>
    </row>
    <row r="903" spans="18:32" ht="12.75" x14ac:dyDescent="0.2">
      <c r="R903" s="9"/>
      <c r="S903" s="9"/>
      <c r="X903" s="10"/>
      <c r="Y903" s="10"/>
      <c r="Z903" s="10"/>
      <c r="AE903" s="10"/>
      <c r="AF903" s="10"/>
    </row>
    <row r="904" spans="18:32" ht="12.75" x14ac:dyDescent="0.2">
      <c r="R904" s="9"/>
      <c r="S904" s="9"/>
      <c r="X904" s="10"/>
      <c r="Y904" s="10"/>
      <c r="Z904" s="10"/>
      <c r="AE904" s="10"/>
      <c r="AF904" s="10"/>
    </row>
    <row r="905" spans="18:32" ht="12.75" x14ac:dyDescent="0.2">
      <c r="R905" s="9"/>
      <c r="S905" s="9"/>
      <c r="X905" s="10"/>
      <c r="Y905" s="10"/>
      <c r="Z905" s="10"/>
      <c r="AE905" s="10"/>
      <c r="AF905" s="10"/>
    </row>
    <row r="906" spans="18:32" ht="12.75" x14ac:dyDescent="0.2">
      <c r="R906" s="9"/>
      <c r="S906" s="9"/>
      <c r="X906" s="10"/>
      <c r="Y906" s="10"/>
      <c r="Z906" s="10"/>
      <c r="AE906" s="10"/>
      <c r="AF906" s="10"/>
    </row>
    <row r="907" spans="18:32" ht="12.75" x14ac:dyDescent="0.2">
      <c r="R907" s="9"/>
      <c r="S907" s="9"/>
      <c r="X907" s="10"/>
      <c r="Y907" s="10"/>
      <c r="Z907" s="10"/>
      <c r="AE907" s="10"/>
      <c r="AF907" s="10"/>
    </row>
    <row r="908" spans="18:32" ht="12.75" x14ac:dyDescent="0.2">
      <c r="R908" s="9"/>
      <c r="S908" s="9"/>
      <c r="X908" s="10"/>
      <c r="Y908" s="10"/>
      <c r="Z908" s="10"/>
      <c r="AE908" s="10"/>
      <c r="AF908" s="10"/>
    </row>
    <row r="909" spans="18:32" ht="12.75" x14ac:dyDescent="0.2">
      <c r="R909" s="9"/>
      <c r="S909" s="9"/>
      <c r="X909" s="10"/>
      <c r="Y909" s="10"/>
      <c r="Z909" s="10"/>
      <c r="AE909" s="10"/>
      <c r="AF909" s="10"/>
    </row>
    <row r="910" spans="18:32" ht="12.75" x14ac:dyDescent="0.2">
      <c r="R910" s="9"/>
      <c r="S910" s="9"/>
      <c r="X910" s="10"/>
      <c r="Y910" s="10"/>
      <c r="Z910" s="10"/>
      <c r="AE910" s="10"/>
      <c r="AF910" s="10"/>
    </row>
    <row r="911" spans="18:32" ht="12.75" x14ac:dyDescent="0.2">
      <c r="R911" s="9"/>
      <c r="S911" s="9"/>
      <c r="X911" s="10"/>
      <c r="Y911" s="10"/>
      <c r="Z911" s="10"/>
      <c r="AE911" s="10"/>
      <c r="AF911" s="10"/>
    </row>
    <row r="912" spans="18:32" ht="12.75" x14ac:dyDescent="0.2">
      <c r="R912" s="9"/>
      <c r="S912" s="9"/>
      <c r="X912" s="10"/>
      <c r="Y912" s="10"/>
      <c r="Z912" s="10"/>
      <c r="AE912" s="10"/>
      <c r="AF912" s="10"/>
    </row>
    <row r="913" spans="18:32" ht="12.75" x14ac:dyDescent="0.2">
      <c r="R913" s="9"/>
      <c r="S913" s="9"/>
      <c r="X913" s="10"/>
      <c r="Y913" s="10"/>
      <c r="Z913" s="10"/>
      <c r="AE913" s="10"/>
      <c r="AF913" s="10"/>
    </row>
    <row r="914" spans="18:32" ht="12.75" x14ac:dyDescent="0.2">
      <c r="R914" s="9"/>
      <c r="S914" s="9"/>
      <c r="X914" s="10"/>
      <c r="Y914" s="10"/>
      <c r="Z914" s="10"/>
      <c r="AE914" s="10"/>
      <c r="AF914" s="10"/>
    </row>
    <row r="915" spans="18:32" ht="12.75" x14ac:dyDescent="0.2">
      <c r="R915" s="9"/>
      <c r="S915" s="9"/>
      <c r="X915" s="10"/>
      <c r="Y915" s="10"/>
      <c r="Z915" s="10"/>
      <c r="AE915" s="10"/>
      <c r="AF915" s="10"/>
    </row>
    <row r="916" spans="18:32" ht="12.75" x14ac:dyDescent="0.2">
      <c r="R916" s="9"/>
      <c r="S916" s="9"/>
      <c r="X916" s="10"/>
      <c r="Y916" s="10"/>
      <c r="Z916" s="10"/>
      <c r="AE916" s="10"/>
      <c r="AF916" s="10"/>
    </row>
    <row r="917" spans="18:32" ht="12.75" x14ac:dyDescent="0.2">
      <c r="R917" s="9"/>
      <c r="S917" s="9"/>
      <c r="X917" s="10"/>
      <c r="Y917" s="10"/>
      <c r="Z917" s="10"/>
      <c r="AE917" s="10"/>
      <c r="AF917" s="10"/>
    </row>
    <row r="918" spans="18:32" ht="12.75" x14ac:dyDescent="0.2">
      <c r="R918" s="9"/>
      <c r="S918" s="9"/>
      <c r="X918" s="10"/>
      <c r="Y918" s="10"/>
      <c r="Z918" s="10"/>
      <c r="AE918" s="10"/>
      <c r="AF918" s="10"/>
    </row>
    <row r="919" spans="18:32" ht="12.75" x14ac:dyDescent="0.2">
      <c r="R919" s="9"/>
      <c r="S919" s="9"/>
      <c r="X919" s="10"/>
      <c r="Y919" s="10"/>
      <c r="Z919" s="10"/>
      <c r="AE919" s="10"/>
      <c r="AF919" s="10"/>
    </row>
    <row r="920" spans="18:32" ht="12.75" x14ac:dyDescent="0.2">
      <c r="R920" s="9"/>
      <c r="S920" s="9"/>
      <c r="X920" s="10"/>
      <c r="Y920" s="10"/>
      <c r="Z920" s="10"/>
      <c r="AE920" s="10"/>
      <c r="AF920" s="10"/>
    </row>
    <row r="921" spans="18:32" ht="12.75" x14ac:dyDescent="0.2">
      <c r="R921" s="9"/>
      <c r="S921" s="9"/>
      <c r="X921" s="10"/>
      <c r="Y921" s="10"/>
      <c r="Z921" s="10"/>
      <c r="AE921" s="10"/>
      <c r="AF921" s="10"/>
    </row>
    <row r="922" spans="18:32" ht="12.75" x14ac:dyDescent="0.2">
      <c r="R922" s="9"/>
      <c r="S922" s="9"/>
      <c r="X922" s="10"/>
      <c r="Y922" s="10"/>
      <c r="Z922" s="10"/>
      <c r="AE922" s="10"/>
      <c r="AF922" s="10"/>
    </row>
    <row r="923" spans="18:32" ht="12.75" x14ac:dyDescent="0.2">
      <c r="R923" s="9"/>
      <c r="S923" s="9"/>
      <c r="X923" s="10"/>
      <c r="Y923" s="10"/>
      <c r="Z923" s="10"/>
      <c r="AE923" s="10"/>
      <c r="AF923" s="10"/>
    </row>
    <row r="924" spans="18:32" ht="12.75" x14ac:dyDescent="0.2">
      <c r="R924" s="9"/>
      <c r="S924" s="9"/>
      <c r="X924" s="10"/>
      <c r="Y924" s="10"/>
      <c r="Z924" s="10"/>
      <c r="AE924" s="10"/>
      <c r="AF924" s="10"/>
    </row>
    <row r="925" spans="18:32" ht="12.75" x14ac:dyDescent="0.2">
      <c r="R925" s="9"/>
      <c r="S925" s="9"/>
      <c r="X925" s="10"/>
      <c r="Y925" s="10"/>
      <c r="Z925" s="10"/>
      <c r="AE925" s="10"/>
      <c r="AF925" s="10"/>
    </row>
    <row r="926" spans="18:32" ht="12.75" x14ac:dyDescent="0.2">
      <c r="R926" s="9"/>
      <c r="S926" s="9"/>
      <c r="X926" s="10"/>
      <c r="Y926" s="10"/>
      <c r="Z926" s="10"/>
      <c r="AE926" s="10"/>
      <c r="AF926" s="10"/>
    </row>
    <row r="927" spans="18:32" ht="12.75" x14ac:dyDescent="0.2">
      <c r="R927" s="9"/>
      <c r="S927" s="9"/>
      <c r="X927" s="10"/>
      <c r="Y927" s="10"/>
      <c r="Z927" s="10"/>
      <c r="AE927" s="10"/>
      <c r="AF927" s="10"/>
    </row>
    <row r="928" spans="18:32" ht="12.75" x14ac:dyDescent="0.2">
      <c r="R928" s="9"/>
      <c r="S928" s="9"/>
      <c r="X928" s="10"/>
      <c r="Y928" s="10"/>
      <c r="Z928" s="10"/>
      <c r="AE928" s="10"/>
      <c r="AF928" s="10"/>
    </row>
    <row r="929" spans="18:32" ht="12.75" x14ac:dyDescent="0.2">
      <c r="R929" s="9"/>
      <c r="S929" s="9"/>
      <c r="X929" s="10"/>
      <c r="Y929" s="10"/>
      <c r="Z929" s="10"/>
      <c r="AE929" s="10"/>
      <c r="AF929" s="10"/>
    </row>
    <row r="930" spans="18:32" ht="12.75" x14ac:dyDescent="0.2">
      <c r="R930" s="9"/>
      <c r="S930" s="9"/>
      <c r="X930" s="10"/>
      <c r="Y930" s="10"/>
      <c r="Z930" s="10"/>
      <c r="AE930" s="10"/>
      <c r="AF930" s="10"/>
    </row>
    <row r="931" spans="18:32" ht="12.75" x14ac:dyDescent="0.2">
      <c r="R931" s="9"/>
      <c r="S931" s="9"/>
      <c r="X931" s="10"/>
      <c r="Y931" s="10"/>
      <c r="Z931" s="10"/>
      <c r="AE931" s="10"/>
      <c r="AF931" s="10"/>
    </row>
    <row r="932" spans="18:32" ht="12.75" x14ac:dyDescent="0.2">
      <c r="R932" s="9"/>
      <c r="S932" s="9"/>
      <c r="X932" s="10"/>
      <c r="Y932" s="10"/>
      <c r="Z932" s="10"/>
      <c r="AE932" s="10"/>
      <c r="AF932" s="10"/>
    </row>
    <row r="933" spans="18:32" ht="12.75" x14ac:dyDescent="0.2">
      <c r="R933" s="9"/>
      <c r="S933" s="9"/>
      <c r="X933" s="10"/>
      <c r="Y933" s="10"/>
      <c r="Z933" s="10"/>
      <c r="AE933" s="10"/>
      <c r="AF933" s="10"/>
    </row>
    <row r="934" spans="18:32" ht="12.75" x14ac:dyDescent="0.2">
      <c r="R934" s="9"/>
      <c r="S934" s="9"/>
      <c r="X934" s="10"/>
      <c r="Y934" s="10"/>
      <c r="Z934" s="10"/>
      <c r="AE934" s="10"/>
      <c r="AF934" s="10"/>
    </row>
    <row r="935" spans="18:32" ht="12.75" x14ac:dyDescent="0.2">
      <c r="R935" s="9"/>
      <c r="S935" s="9"/>
      <c r="X935" s="10"/>
      <c r="Y935" s="10"/>
      <c r="Z935" s="10"/>
      <c r="AE935" s="10"/>
      <c r="AF935" s="10"/>
    </row>
    <row r="936" spans="18:32" ht="12.75" x14ac:dyDescent="0.2">
      <c r="R936" s="9"/>
      <c r="S936" s="9"/>
      <c r="X936" s="10"/>
      <c r="Y936" s="10"/>
      <c r="Z936" s="10"/>
      <c r="AE936" s="10"/>
      <c r="AF936" s="10"/>
    </row>
    <row r="937" spans="18:32" ht="12.75" x14ac:dyDescent="0.2">
      <c r="R937" s="9"/>
      <c r="S937" s="9"/>
      <c r="X937" s="10"/>
      <c r="Y937" s="10"/>
      <c r="Z937" s="10"/>
      <c r="AE937" s="10"/>
      <c r="AF937" s="10"/>
    </row>
    <row r="938" spans="18:32" ht="12.75" x14ac:dyDescent="0.2">
      <c r="R938" s="9"/>
      <c r="S938" s="9"/>
      <c r="X938" s="10"/>
      <c r="Y938" s="10"/>
      <c r="Z938" s="10"/>
      <c r="AE938" s="10"/>
      <c r="AF938" s="10"/>
    </row>
    <row r="939" spans="18:32" ht="12.75" x14ac:dyDescent="0.2">
      <c r="R939" s="9"/>
      <c r="S939" s="9"/>
      <c r="X939" s="10"/>
      <c r="Y939" s="10"/>
      <c r="Z939" s="10"/>
      <c r="AE939" s="10"/>
      <c r="AF939" s="10"/>
    </row>
    <row r="940" spans="18:32" ht="12.75" x14ac:dyDescent="0.2">
      <c r="R940" s="9"/>
      <c r="S940" s="9"/>
      <c r="X940" s="10"/>
      <c r="Y940" s="10"/>
      <c r="Z940" s="10"/>
      <c r="AE940" s="10"/>
      <c r="AF940" s="10"/>
    </row>
    <row r="941" spans="18:32" ht="12.75" x14ac:dyDescent="0.2">
      <c r="R941" s="9"/>
      <c r="S941" s="9"/>
      <c r="X941" s="10"/>
      <c r="Y941" s="10"/>
      <c r="Z941" s="10"/>
      <c r="AE941" s="10"/>
      <c r="AF941" s="10"/>
    </row>
    <row r="942" spans="18:32" ht="12.75" x14ac:dyDescent="0.2">
      <c r="R942" s="9"/>
      <c r="S942" s="9"/>
      <c r="X942" s="10"/>
      <c r="Y942" s="10"/>
      <c r="Z942" s="10"/>
      <c r="AE942" s="10"/>
      <c r="AF942" s="10"/>
    </row>
    <row r="943" spans="18:32" ht="12.75" x14ac:dyDescent="0.2">
      <c r="R943" s="9"/>
      <c r="S943" s="9"/>
      <c r="X943" s="10"/>
      <c r="Y943" s="10"/>
      <c r="Z943" s="10"/>
      <c r="AE943" s="10"/>
      <c r="AF943" s="10"/>
    </row>
    <row r="944" spans="18:32" ht="12.75" x14ac:dyDescent="0.2">
      <c r="R944" s="9"/>
      <c r="S944" s="9"/>
      <c r="X944" s="10"/>
      <c r="Y944" s="10"/>
      <c r="Z944" s="10"/>
      <c r="AE944" s="10"/>
      <c r="AF944" s="10"/>
    </row>
    <row r="945" spans="18:32" ht="12.75" x14ac:dyDescent="0.2">
      <c r="R945" s="9"/>
      <c r="S945" s="9"/>
      <c r="X945" s="10"/>
      <c r="Y945" s="10"/>
      <c r="Z945" s="10"/>
      <c r="AE945" s="10"/>
      <c r="AF945" s="10"/>
    </row>
    <row r="946" spans="18:32" ht="12.75" x14ac:dyDescent="0.2">
      <c r="R946" s="9"/>
      <c r="S946" s="9"/>
      <c r="X946" s="10"/>
      <c r="Y946" s="10"/>
      <c r="Z946" s="10"/>
      <c r="AE946" s="10"/>
      <c r="AF946" s="10"/>
    </row>
    <row r="947" spans="18:32" ht="12.75" x14ac:dyDescent="0.2">
      <c r="R947" s="9"/>
      <c r="S947" s="9"/>
      <c r="X947" s="10"/>
      <c r="Y947" s="10"/>
      <c r="Z947" s="10"/>
      <c r="AE947" s="10"/>
      <c r="AF947" s="10"/>
    </row>
    <row r="948" spans="18:32" ht="12.75" x14ac:dyDescent="0.2">
      <c r="R948" s="9"/>
      <c r="S948" s="9"/>
      <c r="X948" s="10"/>
      <c r="Y948" s="10"/>
      <c r="Z948" s="10"/>
      <c r="AE948" s="10"/>
      <c r="AF948" s="10"/>
    </row>
    <row r="949" spans="18:32" ht="12.75" x14ac:dyDescent="0.2">
      <c r="R949" s="9"/>
      <c r="S949" s="9"/>
      <c r="X949" s="10"/>
      <c r="Y949" s="10"/>
      <c r="Z949" s="10"/>
      <c r="AE949" s="10"/>
      <c r="AF949" s="10"/>
    </row>
    <row r="950" spans="18:32" ht="12.75" x14ac:dyDescent="0.2">
      <c r="R950" s="9"/>
      <c r="S950" s="9"/>
      <c r="X950" s="10"/>
      <c r="Y950" s="10"/>
      <c r="Z950" s="10"/>
      <c r="AE950" s="10"/>
      <c r="AF950" s="10"/>
    </row>
    <row r="951" spans="18:32" ht="12.75" x14ac:dyDescent="0.2">
      <c r="R951" s="9"/>
      <c r="S951" s="9"/>
      <c r="X951" s="10"/>
      <c r="Y951" s="10"/>
      <c r="Z951" s="10"/>
      <c r="AE951" s="10"/>
      <c r="AF951" s="10"/>
    </row>
    <row r="952" spans="18:32" ht="12.75" x14ac:dyDescent="0.2">
      <c r="R952" s="9"/>
      <c r="S952" s="9"/>
      <c r="X952" s="10"/>
      <c r="Y952" s="10"/>
      <c r="Z952" s="10"/>
      <c r="AE952" s="10"/>
      <c r="AF952" s="10"/>
    </row>
    <row r="953" spans="18:32" ht="12.75" x14ac:dyDescent="0.2">
      <c r="R953" s="9"/>
      <c r="S953" s="9"/>
      <c r="X953" s="10"/>
      <c r="Y953" s="10"/>
      <c r="Z953" s="10"/>
      <c r="AE953" s="10"/>
      <c r="AF953" s="10"/>
    </row>
    <row r="954" spans="18:32" ht="12.75" x14ac:dyDescent="0.2">
      <c r="R954" s="9"/>
      <c r="S954" s="9"/>
      <c r="X954" s="10"/>
      <c r="Y954" s="10"/>
      <c r="Z954" s="10"/>
      <c r="AE954" s="10"/>
      <c r="AF954" s="10"/>
    </row>
    <row r="955" spans="18:32" ht="12.75" x14ac:dyDescent="0.2">
      <c r="R955" s="9"/>
      <c r="S955" s="9"/>
      <c r="X955" s="10"/>
      <c r="Y955" s="10"/>
      <c r="Z955" s="10"/>
      <c r="AE955" s="10"/>
      <c r="AF955" s="10"/>
    </row>
    <row r="956" spans="18:32" ht="12.75" x14ac:dyDescent="0.2">
      <c r="R956" s="9"/>
      <c r="S956" s="9"/>
      <c r="X956" s="10"/>
      <c r="Y956" s="10"/>
      <c r="Z956" s="10"/>
      <c r="AE956" s="10"/>
      <c r="AF956" s="10"/>
    </row>
    <row r="957" spans="18:32" ht="12.75" x14ac:dyDescent="0.2">
      <c r="R957" s="9"/>
      <c r="S957" s="9"/>
      <c r="X957" s="10"/>
      <c r="Y957" s="10"/>
      <c r="Z957" s="10"/>
      <c r="AE957" s="10"/>
      <c r="AF957" s="10"/>
    </row>
    <row r="958" spans="18:32" ht="12.75" x14ac:dyDescent="0.2">
      <c r="R958" s="9"/>
      <c r="S958" s="9"/>
      <c r="X958" s="10"/>
      <c r="Y958" s="10"/>
      <c r="Z958" s="10"/>
      <c r="AE958" s="10"/>
      <c r="AF958" s="10"/>
    </row>
    <row r="959" spans="18:32" ht="12.75" x14ac:dyDescent="0.2">
      <c r="R959" s="9"/>
      <c r="S959" s="9"/>
      <c r="X959" s="10"/>
      <c r="Y959" s="10"/>
      <c r="Z959" s="10"/>
      <c r="AE959" s="10"/>
      <c r="AF959" s="10"/>
    </row>
    <row r="960" spans="18:32" ht="12.75" x14ac:dyDescent="0.2">
      <c r="R960" s="9"/>
      <c r="S960" s="9"/>
      <c r="X960" s="10"/>
      <c r="Y960" s="10"/>
      <c r="Z960" s="10"/>
      <c r="AE960" s="10"/>
      <c r="AF960" s="10"/>
    </row>
    <row r="961" spans="18:32" ht="12.75" x14ac:dyDescent="0.2">
      <c r="R961" s="9"/>
      <c r="S961" s="9"/>
      <c r="X961" s="10"/>
      <c r="Y961" s="10"/>
      <c r="Z961" s="10"/>
      <c r="AE961" s="10"/>
      <c r="AF961" s="10"/>
    </row>
    <row r="962" spans="18:32" ht="12.75" x14ac:dyDescent="0.2">
      <c r="R962" s="9"/>
      <c r="S962" s="9"/>
      <c r="X962" s="10"/>
      <c r="Y962" s="10"/>
      <c r="Z962" s="10"/>
      <c r="AE962" s="10"/>
      <c r="AF962" s="10"/>
    </row>
    <row r="963" spans="18:32" ht="12.75" x14ac:dyDescent="0.2">
      <c r="R963" s="9"/>
      <c r="S963" s="9"/>
      <c r="X963" s="10"/>
      <c r="Y963" s="10"/>
      <c r="Z963" s="10"/>
      <c r="AE963" s="10"/>
      <c r="AF963" s="10"/>
    </row>
    <row r="964" spans="18:32" ht="12.75" x14ac:dyDescent="0.2">
      <c r="R964" s="9"/>
      <c r="S964" s="9"/>
      <c r="X964" s="10"/>
      <c r="Y964" s="10"/>
      <c r="Z964" s="10"/>
      <c r="AE964" s="10"/>
      <c r="AF964" s="10"/>
    </row>
    <row r="965" spans="18:32" ht="12.75" x14ac:dyDescent="0.2">
      <c r="R965" s="9"/>
      <c r="S965" s="9"/>
      <c r="X965" s="10"/>
      <c r="Y965" s="10"/>
      <c r="Z965" s="10"/>
      <c r="AE965" s="10"/>
      <c r="AF965" s="10"/>
    </row>
    <row r="966" spans="18:32" ht="12.75" x14ac:dyDescent="0.2">
      <c r="R966" s="9"/>
      <c r="S966" s="9"/>
      <c r="X966" s="10"/>
      <c r="Y966" s="10"/>
      <c r="Z966" s="10"/>
      <c r="AE966" s="10"/>
      <c r="AF966" s="10"/>
    </row>
    <row r="967" spans="18:32" ht="12.75" x14ac:dyDescent="0.2">
      <c r="R967" s="9"/>
      <c r="S967" s="9"/>
      <c r="X967" s="10"/>
      <c r="Y967" s="10"/>
      <c r="Z967" s="10"/>
      <c r="AE967" s="10"/>
      <c r="AF967" s="10"/>
    </row>
    <row r="968" spans="18:32" ht="12.75" x14ac:dyDescent="0.2">
      <c r="R968" s="9"/>
      <c r="S968" s="9"/>
      <c r="X968" s="10"/>
      <c r="Y968" s="10"/>
      <c r="Z968" s="10"/>
      <c r="AE968" s="10"/>
      <c r="AF968" s="10"/>
    </row>
    <row r="969" spans="18:32" ht="12.75" x14ac:dyDescent="0.2">
      <c r="R969" s="9"/>
      <c r="S969" s="9"/>
      <c r="X969" s="10"/>
      <c r="Y969" s="10"/>
      <c r="Z969" s="10"/>
      <c r="AE969" s="10"/>
      <c r="AF969" s="10"/>
    </row>
    <row r="970" spans="18:32" ht="12.75" x14ac:dyDescent="0.2">
      <c r="R970" s="9"/>
      <c r="S970" s="9"/>
      <c r="X970" s="10"/>
      <c r="Y970" s="10"/>
      <c r="Z970" s="10"/>
      <c r="AE970" s="10"/>
      <c r="AF970" s="10"/>
    </row>
    <row r="971" spans="18:32" ht="12.75" x14ac:dyDescent="0.2">
      <c r="R971" s="9"/>
      <c r="S971" s="9"/>
      <c r="X971" s="10"/>
      <c r="Y971" s="10"/>
      <c r="Z971" s="10"/>
      <c r="AE971" s="10"/>
      <c r="AF971" s="10"/>
    </row>
    <row r="972" spans="18:32" ht="12.75" x14ac:dyDescent="0.2">
      <c r="R972" s="9"/>
      <c r="S972" s="9"/>
      <c r="X972" s="10"/>
      <c r="Y972" s="10"/>
      <c r="Z972" s="10"/>
      <c r="AE972" s="10"/>
      <c r="AF972" s="10"/>
    </row>
    <row r="973" spans="18:32" ht="12.75" x14ac:dyDescent="0.2">
      <c r="R973" s="9"/>
      <c r="S973" s="9"/>
      <c r="X973" s="10"/>
      <c r="Y973" s="10"/>
      <c r="Z973" s="10"/>
      <c r="AE973" s="10"/>
      <c r="AF973" s="10"/>
    </row>
    <row r="974" spans="18:32" ht="12.75" x14ac:dyDescent="0.2">
      <c r="R974" s="9"/>
      <c r="S974" s="9"/>
      <c r="X974" s="10"/>
      <c r="Y974" s="10"/>
      <c r="Z974" s="10"/>
      <c r="AE974" s="10"/>
      <c r="AF974" s="10"/>
    </row>
    <row r="975" spans="18:32" ht="12.75" x14ac:dyDescent="0.2">
      <c r="R975" s="9"/>
      <c r="S975" s="9"/>
      <c r="X975" s="10"/>
      <c r="Y975" s="10"/>
      <c r="Z975" s="10"/>
      <c r="AE975" s="10"/>
      <c r="AF975" s="10"/>
    </row>
    <row r="976" spans="18:32" ht="12.75" x14ac:dyDescent="0.2">
      <c r="R976" s="9"/>
      <c r="S976" s="9"/>
      <c r="X976" s="10"/>
      <c r="Y976" s="10"/>
      <c r="Z976" s="10"/>
      <c r="AE976" s="10"/>
      <c r="AF976" s="10"/>
    </row>
    <row r="977" spans="18:32" ht="12.75" x14ac:dyDescent="0.2">
      <c r="R977" s="9"/>
      <c r="S977" s="9"/>
      <c r="X977" s="10"/>
      <c r="Y977" s="10"/>
      <c r="Z977" s="10"/>
      <c r="AE977" s="10"/>
      <c r="AF977" s="10"/>
    </row>
    <row r="978" spans="18:32" ht="12.75" x14ac:dyDescent="0.2">
      <c r="R978" s="9"/>
      <c r="S978" s="9"/>
      <c r="X978" s="10"/>
      <c r="Y978" s="10"/>
      <c r="Z978" s="10"/>
      <c r="AE978" s="10"/>
      <c r="AF978" s="10"/>
    </row>
    <row r="979" spans="18:32" ht="12.75" x14ac:dyDescent="0.2">
      <c r="R979" s="9"/>
      <c r="S979" s="9"/>
      <c r="X979" s="10"/>
      <c r="Y979" s="10"/>
      <c r="Z979" s="10"/>
      <c r="AE979" s="10"/>
      <c r="AF979" s="10"/>
    </row>
    <row r="980" spans="18:32" ht="12.75" x14ac:dyDescent="0.2">
      <c r="R980" s="9"/>
      <c r="S980" s="9"/>
      <c r="X980" s="10"/>
      <c r="Y980" s="10"/>
      <c r="Z980" s="10"/>
      <c r="AE980" s="10"/>
      <c r="AF980" s="10"/>
    </row>
    <row r="981" spans="18:32" ht="12.75" x14ac:dyDescent="0.2">
      <c r="R981" s="9"/>
      <c r="S981" s="9"/>
      <c r="X981" s="10"/>
      <c r="Y981" s="10"/>
      <c r="Z981" s="10"/>
      <c r="AE981" s="10"/>
      <c r="AF981" s="10"/>
    </row>
    <row r="982" spans="18:32" ht="12.75" x14ac:dyDescent="0.2">
      <c r="R982" s="9"/>
      <c r="S982" s="9"/>
      <c r="X982" s="10"/>
      <c r="Y982" s="10"/>
      <c r="Z982" s="10"/>
      <c r="AE982" s="10"/>
      <c r="AF982" s="10"/>
    </row>
    <row r="983" spans="18:32" ht="12.75" x14ac:dyDescent="0.2">
      <c r="R983" s="9"/>
      <c r="S983" s="9"/>
      <c r="X983" s="10"/>
      <c r="Y983" s="10"/>
      <c r="Z983" s="10"/>
      <c r="AE983" s="10"/>
      <c r="AF98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E918-55F0-44BE-9D5E-AB75324AAFF9}">
  <dimension ref="A1:D180"/>
  <sheetViews>
    <sheetView tabSelected="1" workbookViewId="0">
      <selection activeCell="F17" sqref="A1:XFD1048576"/>
    </sheetView>
  </sheetViews>
  <sheetFormatPr defaultRowHeight="12.75" x14ac:dyDescent="0.2"/>
  <cols>
    <col min="1" max="1" width="24.140625" bestFit="1" customWidth="1"/>
    <col min="2" max="2" width="18.85546875" bestFit="1" customWidth="1"/>
    <col min="3" max="3" width="21.42578125" bestFit="1" customWidth="1"/>
    <col min="4" max="4" width="6" bestFit="1" customWidth="1"/>
  </cols>
  <sheetData>
    <row r="1" spans="1:4" x14ac:dyDescent="0.2">
      <c r="A1" s="14" t="s">
        <v>0</v>
      </c>
      <c r="B1" s="14" t="s">
        <v>225</v>
      </c>
      <c r="C1" s="14" t="s">
        <v>226</v>
      </c>
      <c r="D1" s="14" t="s">
        <v>227</v>
      </c>
    </row>
    <row r="2" spans="1:4" x14ac:dyDescent="0.2">
      <c r="A2" s="15" t="s">
        <v>29</v>
      </c>
      <c r="B2" s="15" t="s">
        <v>229</v>
      </c>
      <c r="C2" s="15" t="s">
        <v>230</v>
      </c>
      <c r="D2" s="15" t="s">
        <v>228</v>
      </c>
    </row>
    <row r="3" spans="1:4" x14ac:dyDescent="0.2">
      <c r="A3" s="15" t="s">
        <v>33</v>
      </c>
      <c r="B3" s="15" t="s">
        <v>231</v>
      </c>
      <c r="C3" s="15" t="s">
        <v>232</v>
      </c>
      <c r="D3" s="15" t="s">
        <v>228</v>
      </c>
    </row>
    <row r="4" spans="1:4" x14ac:dyDescent="0.2">
      <c r="A4" s="15" t="s">
        <v>35</v>
      </c>
      <c r="B4" s="15" t="s">
        <v>233</v>
      </c>
      <c r="C4" s="15" t="s">
        <v>234</v>
      </c>
      <c r="D4" s="15" t="s">
        <v>228</v>
      </c>
    </row>
    <row r="5" spans="1:4" x14ac:dyDescent="0.2">
      <c r="A5" s="15" t="s">
        <v>36</v>
      </c>
      <c r="B5" s="15" t="s">
        <v>235</v>
      </c>
      <c r="C5" s="15" t="s">
        <v>236</v>
      </c>
      <c r="D5" s="15" t="s">
        <v>228</v>
      </c>
    </row>
    <row r="6" spans="1:4" x14ac:dyDescent="0.2">
      <c r="A6" s="15" t="s">
        <v>37</v>
      </c>
      <c r="B6" s="15" t="s">
        <v>237</v>
      </c>
      <c r="C6" s="15" t="s">
        <v>238</v>
      </c>
      <c r="D6" s="15" t="s">
        <v>228</v>
      </c>
    </row>
    <row r="7" spans="1:4" x14ac:dyDescent="0.2">
      <c r="A7" s="15" t="s">
        <v>40</v>
      </c>
      <c r="B7" s="15" t="s">
        <v>239</v>
      </c>
      <c r="C7" s="15" t="s">
        <v>240</v>
      </c>
      <c r="D7" s="15" t="s">
        <v>228</v>
      </c>
    </row>
    <row r="8" spans="1:4" x14ac:dyDescent="0.2">
      <c r="A8" s="15" t="s">
        <v>42</v>
      </c>
      <c r="B8" s="15" t="s">
        <v>241</v>
      </c>
      <c r="C8" s="15" t="s">
        <v>242</v>
      </c>
      <c r="D8" s="15" t="s">
        <v>228</v>
      </c>
    </row>
    <row r="9" spans="1:4" x14ac:dyDescent="0.2">
      <c r="A9" s="15" t="s">
        <v>43</v>
      </c>
      <c r="B9" s="15" t="s">
        <v>243</v>
      </c>
      <c r="C9" s="15" t="s">
        <v>244</v>
      </c>
      <c r="D9" s="15" t="s">
        <v>228</v>
      </c>
    </row>
    <row r="10" spans="1:4" x14ac:dyDescent="0.2">
      <c r="A10" s="15" t="s">
        <v>44</v>
      </c>
      <c r="B10" s="15" t="s">
        <v>245</v>
      </c>
      <c r="C10" s="15" t="s">
        <v>246</v>
      </c>
      <c r="D10" s="15" t="s">
        <v>228</v>
      </c>
    </row>
    <row r="11" spans="1:4" x14ac:dyDescent="0.2">
      <c r="A11" s="15" t="s">
        <v>45</v>
      </c>
      <c r="B11" s="15" t="s">
        <v>247</v>
      </c>
      <c r="C11" s="15" t="s">
        <v>248</v>
      </c>
      <c r="D11" s="15" t="s">
        <v>228</v>
      </c>
    </row>
    <row r="12" spans="1:4" x14ac:dyDescent="0.2">
      <c r="A12" s="15" t="s">
        <v>46</v>
      </c>
      <c r="B12" s="15" t="s">
        <v>249</v>
      </c>
      <c r="C12" s="15" t="s">
        <v>250</v>
      </c>
      <c r="D12" s="15" t="s">
        <v>228</v>
      </c>
    </row>
    <row r="13" spans="1:4" x14ac:dyDescent="0.2">
      <c r="A13" s="15" t="s">
        <v>48</v>
      </c>
      <c r="B13" s="15" t="s">
        <v>251</v>
      </c>
      <c r="C13" s="15" t="s">
        <v>252</v>
      </c>
      <c r="D13" s="15" t="s">
        <v>228</v>
      </c>
    </row>
    <row r="14" spans="1:4" x14ac:dyDescent="0.2">
      <c r="A14" s="15" t="s">
        <v>49</v>
      </c>
      <c r="B14" s="15" t="s">
        <v>253</v>
      </c>
      <c r="C14" s="15" t="s">
        <v>254</v>
      </c>
      <c r="D14" s="15" t="s">
        <v>228</v>
      </c>
    </row>
    <row r="15" spans="1:4" x14ac:dyDescent="0.2">
      <c r="A15" s="15" t="s">
        <v>50</v>
      </c>
      <c r="B15" s="15" t="s">
        <v>255</v>
      </c>
      <c r="C15" s="15" t="s">
        <v>256</v>
      </c>
      <c r="D15" s="15" t="s">
        <v>228</v>
      </c>
    </row>
    <row r="16" spans="1:4" x14ac:dyDescent="0.2">
      <c r="A16" s="15" t="s">
        <v>51</v>
      </c>
      <c r="B16" s="15" t="s">
        <v>257</v>
      </c>
      <c r="C16" s="15" t="s">
        <v>258</v>
      </c>
      <c r="D16" s="15" t="s">
        <v>228</v>
      </c>
    </row>
    <row r="17" spans="1:4" x14ac:dyDescent="0.2">
      <c r="A17" s="15" t="s">
        <v>52</v>
      </c>
      <c r="B17" s="15" t="s">
        <v>259</v>
      </c>
      <c r="C17" s="15" t="s">
        <v>260</v>
      </c>
      <c r="D17" s="15" t="s">
        <v>228</v>
      </c>
    </row>
    <row r="18" spans="1:4" x14ac:dyDescent="0.2">
      <c r="A18" s="15" t="s">
        <v>53</v>
      </c>
      <c r="B18" s="15" t="s">
        <v>261</v>
      </c>
      <c r="C18" s="15" t="s">
        <v>262</v>
      </c>
      <c r="D18" s="15" t="s">
        <v>228</v>
      </c>
    </row>
    <row r="19" spans="1:4" x14ac:dyDescent="0.2">
      <c r="A19" s="15" t="s">
        <v>54</v>
      </c>
      <c r="B19" s="15" t="s">
        <v>263</v>
      </c>
      <c r="C19" s="15" t="s">
        <v>264</v>
      </c>
      <c r="D19" s="15" t="s">
        <v>228</v>
      </c>
    </row>
    <row r="20" spans="1:4" x14ac:dyDescent="0.2">
      <c r="A20" s="15" t="s">
        <v>55</v>
      </c>
      <c r="B20" s="15" t="s">
        <v>265</v>
      </c>
      <c r="C20" s="15" t="s">
        <v>266</v>
      </c>
      <c r="D20" s="15" t="s">
        <v>228</v>
      </c>
    </row>
    <row r="21" spans="1:4" x14ac:dyDescent="0.2">
      <c r="A21" s="15" t="s">
        <v>56</v>
      </c>
      <c r="B21" s="15" t="s">
        <v>267</v>
      </c>
      <c r="C21" s="15" t="s">
        <v>268</v>
      </c>
      <c r="D21" s="15" t="s">
        <v>228</v>
      </c>
    </row>
    <row r="22" spans="1:4" x14ac:dyDescent="0.2">
      <c r="A22" s="15" t="s">
        <v>57</v>
      </c>
      <c r="B22" s="15" t="s">
        <v>269</v>
      </c>
      <c r="C22" s="15" t="s">
        <v>270</v>
      </c>
      <c r="D22" s="15" t="s">
        <v>228</v>
      </c>
    </row>
    <row r="23" spans="1:4" x14ac:dyDescent="0.2">
      <c r="A23" s="15" t="s">
        <v>58</v>
      </c>
      <c r="B23" s="15" t="s">
        <v>271</v>
      </c>
      <c r="C23" s="15" t="s">
        <v>272</v>
      </c>
      <c r="D23" s="15" t="s">
        <v>228</v>
      </c>
    </row>
    <row r="24" spans="1:4" x14ac:dyDescent="0.2">
      <c r="A24" s="15" t="s">
        <v>59</v>
      </c>
      <c r="B24" s="15" t="s">
        <v>273</v>
      </c>
      <c r="C24" s="15" t="s">
        <v>274</v>
      </c>
      <c r="D24" s="15" t="s">
        <v>228</v>
      </c>
    </row>
    <row r="25" spans="1:4" x14ac:dyDescent="0.2">
      <c r="A25" s="15" t="s">
        <v>60</v>
      </c>
      <c r="B25" s="15" t="s">
        <v>275</v>
      </c>
      <c r="C25" s="15" t="s">
        <v>276</v>
      </c>
      <c r="D25" s="15" t="s">
        <v>228</v>
      </c>
    </row>
    <row r="26" spans="1:4" x14ac:dyDescent="0.2">
      <c r="A26" s="15" t="s">
        <v>62</v>
      </c>
      <c r="B26" s="15" t="s">
        <v>277</v>
      </c>
      <c r="C26" s="15" t="s">
        <v>278</v>
      </c>
      <c r="D26" s="15" t="s">
        <v>228</v>
      </c>
    </row>
    <row r="27" spans="1:4" x14ac:dyDescent="0.2">
      <c r="A27" s="15" t="s">
        <v>63</v>
      </c>
      <c r="B27" s="15" t="s">
        <v>279</v>
      </c>
      <c r="C27" s="15" t="s">
        <v>280</v>
      </c>
      <c r="D27" s="15" t="s">
        <v>228</v>
      </c>
    </row>
    <row r="28" spans="1:4" x14ac:dyDescent="0.2">
      <c r="A28" s="15" t="s">
        <v>64</v>
      </c>
      <c r="B28" s="15" t="s">
        <v>281</v>
      </c>
      <c r="C28" s="15" t="s">
        <v>282</v>
      </c>
      <c r="D28" s="15" t="s">
        <v>228</v>
      </c>
    </row>
    <row r="29" spans="1:4" x14ac:dyDescent="0.2">
      <c r="A29" s="15" t="s">
        <v>65</v>
      </c>
      <c r="B29" s="15" t="s">
        <v>283</v>
      </c>
      <c r="C29" s="15" t="s">
        <v>284</v>
      </c>
      <c r="D29" s="15" t="s">
        <v>228</v>
      </c>
    </row>
    <row r="30" spans="1:4" x14ac:dyDescent="0.2">
      <c r="A30" s="15" t="s">
        <v>66</v>
      </c>
      <c r="B30" s="15" t="s">
        <v>285</v>
      </c>
      <c r="C30" s="15" t="s">
        <v>286</v>
      </c>
      <c r="D30" s="15" t="s">
        <v>228</v>
      </c>
    </row>
    <row r="31" spans="1:4" x14ac:dyDescent="0.2">
      <c r="A31" s="15" t="s">
        <v>67</v>
      </c>
      <c r="B31" s="15" t="s">
        <v>287</v>
      </c>
      <c r="C31" s="15" t="s">
        <v>288</v>
      </c>
      <c r="D31" s="15" t="s">
        <v>228</v>
      </c>
    </row>
    <row r="32" spans="1:4" x14ac:dyDescent="0.2">
      <c r="A32" s="15" t="s">
        <v>68</v>
      </c>
      <c r="B32" s="15" t="s">
        <v>289</v>
      </c>
      <c r="C32" s="15" t="s">
        <v>290</v>
      </c>
      <c r="D32" s="15" t="s">
        <v>228</v>
      </c>
    </row>
    <row r="33" spans="1:4" x14ac:dyDescent="0.2">
      <c r="A33" s="15" t="s">
        <v>69</v>
      </c>
      <c r="B33" s="15" t="s">
        <v>291</v>
      </c>
      <c r="C33" s="15" t="s">
        <v>292</v>
      </c>
      <c r="D33" s="15" t="s">
        <v>228</v>
      </c>
    </row>
    <row r="34" spans="1:4" x14ac:dyDescent="0.2">
      <c r="A34" s="15" t="s">
        <v>70</v>
      </c>
      <c r="B34" s="15" t="s">
        <v>293</v>
      </c>
      <c r="C34" s="15" t="s">
        <v>294</v>
      </c>
      <c r="D34" s="15" t="s">
        <v>228</v>
      </c>
    </row>
    <row r="35" spans="1:4" x14ac:dyDescent="0.2">
      <c r="A35" s="15" t="s">
        <v>71</v>
      </c>
      <c r="B35" s="15" t="s">
        <v>295</v>
      </c>
      <c r="C35" s="15" t="s">
        <v>296</v>
      </c>
      <c r="D35" s="15" t="s">
        <v>228</v>
      </c>
    </row>
    <row r="36" spans="1:4" x14ac:dyDescent="0.2">
      <c r="A36" s="15" t="s">
        <v>72</v>
      </c>
      <c r="B36" s="15" t="s">
        <v>297</v>
      </c>
      <c r="C36" s="15" t="s">
        <v>298</v>
      </c>
      <c r="D36" s="15" t="s">
        <v>228</v>
      </c>
    </row>
    <row r="37" spans="1:4" x14ac:dyDescent="0.2">
      <c r="A37" s="15" t="s">
        <v>73</v>
      </c>
      <c r="B37" s="15" t="s">
        <v>299</v>
      </c>
      <c r="C37" s="15" t="s">
        <v>300</v>
      </c>
      <c r="D37" s="15" t="s">
        <v>228</v>
      </c>
    </row>
    <row r="38" spans="1:4" x14ac:dyDescent="0.2">
      <c r="A38" s="15" t="s">
        <v>74</v>
      </c>
      <c r="B38" s="15" t="s">
        <v>301</v>
      </c>
      <c r="C38" s="15" t="s">
        <v>302</v>
      </c>
      <c r="D38" s="15" t="s">
        <v>228</v>
      </c>
    </row>
    <row r="39" spans="1:4" x14ac:dyDescent="0.2">
      <c r="A39" s="15" t="s">
        <v>75</v>
      </c>
      <c r="B39" s="15" t="s">
        <v>303</v>
      </c>
      <c r="C39" s="15" t="s">
        <v>304</v>
      </c>
      <c r="D39" s="15" t="s">
        <v>228</v>
      </c>
    </row>
    <row r="40" spans="1:4" x14ac:dyDescent="0.2">
      <c r="A40" s="15" t="s">
        <v>76</v>
      </c>
      <c r="B40" s="15" t="s">
        <v>305</v>
      </c>
      <c r="C40" s="15" t="s">
        <v>306</v>
      </c>
      <c r="D40" s="15" t="s">
        <v>228</v>
      </c>
    </row>
    <row r="41" spans="1:4" x14ac:dyDescent="0.2">
      <c r="A41" s="15" t="s">
        <v>77</v>
      </c>
      <c r="B41" s="15" t="s">
        <v>307</v>
      </c>
      <c r="C41" s="15" t="s">
        <v>308</v>
      </c>
      <c r="D41" s="15" t="s">
        <v>228</v>
      </c>
    </row>
    <row r="42" spans="1:4" x14ac:dyDescent="0.2">
      <c r="A42" s="15" t="s">
        <v>78</v>
      </c>
      <c r="B42" s="15" t="s">
        <v>309</v>
      </c>
      <c r="C42" s="15" t="s">
        <v>310</v>
      </c>
      <c r="D42" s="15" t="s">
        <v>228</v>
      </c>
    </row>
    <row r="43" spans="1:4" x14ac:dyDescent="0.2">
      <c r="A43" s="15" t="s">
        <v>79</v>
      </c>
      <c r="B43" s="15" t="s">
        <v>311</v>
      </c>
      <c r="C43" s="15" t="s">
        <v>312</v>
      </c>
      <c r="D43" s="15" t="s">
        <v>228</v>
      </c>
    </row>
    <row r="44" spans="1:4" x14ac:dyDescent="0.2">
      <c r="A44" s="15" t="s">
        <v>80</v>
      </c>
      <c r="B44" s="15" t="s">
        <v>313</v>
      </c>
      <c r="C44" s="15" t="s">
        <v>314</v>
      </c>
      <c r="D44" s="15" t="s">
        <v>228</v>
      </c>
    </row>
    <row r="45" spans="1:4" x14ac:dyDescent="0.2">
      <c r="A45" s="15" t="s">
        <v>81</v>
      </c>
      <c r="B45" s="15" t="s">
        <v>315</v>
      </c>
      <c r="C45" s="15" t="s">
        <v>316</v>
      </c>
      <c r="D45" s="15" t="s">
        <v>228</v>
      </c>
    </row>
    <row r="46" spans="1:4" x14ac:dyDescent="0.2">
      <c r="A46" s="15" t="s">
        <v>82</v>
      </c>
      <c r="B46" s="15" t="s">
        <v>317</v>
      </c>
      <c r="C46" s="15" t="s">
        <v>318</v>
      </c>
      <c r="D46" s="15" t="s">
        <v>228</v>
      </c>
    </row>
    <row r="47" spans="1:4" x14ac:dyDescent="0.2">
      <c r="A47" s="15" t="s">
        <v>83</v>
      </c>
      <c r="B47" s="15" t="s">
        <v>319</v>
      </c>
      <c r="C47" s="15" t="s">
        <v>320</v>
      </c>
      <c r="D47" s="15" t="s">
        <v>228</v>
      </c>
    </row>
    <row r="48" spans="1:4" x14ac:dyDescent="0.2">
      <c r="A48" s="15" t="s">
        <v>84</v>
      </c>
      <c r="B48" s="15" t="s">
        <v>321</v>
      </c>
      <c r="C48" s="15" t="s">
        <v>322</v>
      </c>
      <c r="D48" s="15" t="s">
        <v>228</v>
      </c>
    </row>
    <row r="49" spans="1:4" x14ac:dyDescent="0.2">
      <c r="A49" s="15" t="s">
        <v>85</v>
      </c>
      <c r="B49" s="15" t="s">
        <v>323</v>
      </c>
      <c r="C49" s="15" t="s">
        <v>324</v>
      </c>
      <c r="D49" s="15" t="s">
        <v>228</v>
      </c>
    </row>
    <row r="50" spans="1:4" x14ac:dyDescent="0.2">
      <c r="A50" s="15" t="s">
        <v>86</v>
      </c>
      <c r="B50" s="15" t="s">
        <v>325</v>
      </c>
      <c r="C50" s="15" t="s">
        <v>326</v>
      </c>
      <c r="D50" s="15" t="s">
        <v>228</v>
      </c>
    </row>
    <row r="51" spans="1:4" x14ac:dyDescent="0.2">
      <c r="A51" s="15" t="s">
        <v>87</v>
      </c>
      <c r="B51" s="15" t="s">
        <v>327</v>
      </c>
      <c r="C51" s="15" t="s">
        <v>328</v>
      </c>
      <c r="D51" s="15" t="s">
        <v>228</v>
      </c>
    </row>
    <row r="52" spans="1:4" x14ac:dyDescent="0.2">
      <c r="A52" s="15" t="s">
        <v>88</v>
      </c>
      <c r="B52" s="15" t="s">
        <v>329</v>
      </c>
      <c r="C52" s="15" t="s">
        <v>330</v>
      </c>
      <c r="D52" s="15" t="s">
        <v>228</v>
      </c>
    </row>
    <row r="53" spans="1:4" x14ac:dyDescent="0.2">
      <c r="A53" s="15" t="s">
        <v>89</v>
      </c>
      <c r="B53" s="15" t="s">
        <v>331</v>
      </c>
      <c r="C53" s="15" t="s">
        <v>332</v>
      </c>
      <c r="D53" s="15" t="s">
        <v>228</v>
      </c>
    </row>
    <row r="54" spans="1:4" x14ac:dyDescent="0.2">
      <c r="A54" s="15" t="s">
        <v>90</v>
      </c>
      <c r="B54" s="15" t="s">
        <v>333</v>
      </c>
      <c r="C54" s="15" t="s">
        <v>334</v>
      </c>
      <c r="D54" s="15" t="s">
        <v>228</v>
      </c>
    </row>
    <row r="55" spans="1:4" x14ac:dyDescent="0.2">
      <c r="A55" s="15" t="s">
        <v>91</v>
      </c>
      <c r="B55" s="15" t="s">
        <v>335</v>
      </c>
      <c r="C55" s="15" t="s">
        <v>336</v>
      </c>
      <c r="D55" s="15" t="s">
        <v>228</v>
      </c>
    </row>
    <row r="56" spans="1:4" x14ac:dyDescent="0.2">
      <c r="A56" s="15" t="s">
        <v>92</v>
      </c>
      <c r="B56" s="15" t="s">
        <v>337</v>
      </c>
      <c r="C56" s="15" t="s">
        <v>338</v>
      </c>
      <c r="D56" s="15" t="s">
        <v>228</v>
      </c>
    </row>
    <row r="57" spans="1:4" x14ac:dyDescent="0.2">
      <c r="A57" s="15" t="s">
        <v>93</v>
      </c>
      <c r="B57" s="15" t="s">
        <v>339</v>
      </c>
      <c r="C57" s="15" t="s">
        <v>340</v>
      </c>
      <c r="D57" s="15" t="s">
        <v>228</v>
      </c>
    </row>
    <row r="58" spans="1:4" x14ac:dyDescent="0.2">
      <c r="A58" s="15" t="s">
        <v>94</v>
      </c>
      <c r="B58" s="15" t="s">
        <v>341</v>
      </c>
      <c r="C58" s="15" t="s">
        <v>342</v>
      </c>
      <c r="D58" s="15" t="s">
        <v>228</v>
      </c>
    </row>
    <row r="59" spans="1:4" x14ac:dyDescent="0.2">
      <c r="A59" s="15" t="s">
        <v>95</v>
      </c>
      <c r="B59" s="15" t="s">
        <v>343</v>
      </c>
      <c r="C59" s="15" t="s">
        <v>344</v>
      </c>
      <c r="D59" s="15" t="s">
        <v>228</v>
      </c>
    </row>
    <row r="60" spans="1:4" x14ac:dyDescent="0.2">
      <c r="A60" s="15" t="s">
        <v>96</v>
      </c>
      <c r="B60" s="15" t="s">
        <v>345</v>
      </c>
      <c r="C60" s="15" t="s">
        <v>346</v>
      </c>
      <c r="D60" s="15" t="s">
        <v>228</v>
      </c>
    </row>
    <row r="61" spans="1:4" x14ac:dyDescent="0.2">
      <c r="A61" s="15" t="s">
        <v>97</v>
      </c>
      <c r="B61" s="15" t="s">
        <v>347</v>
      </c>
      <c r="C61" s="15" t="s">
        <v>348</v>
      </c>
      <c r="D61" s="15" t="s">
        <v>228</v>
      </c>
    </row>
    <row r="62" spans="1:4" x14ac:dyDescent="0.2">
      <c r="A62" s="15" t="s">
        <v>98</v>
      </c>
      <c r="B62" s="15" t="s">
        <v>349</v>
      </c>
      <c r="C62" s="15" t="s">
        <v>350</v>
      </c>
      <c r="D62" s="15" t="s">
        <v>228</v>
      </c>
    </row>
    <row r="63" spans="1:4" x14ac:dyDescent="0.2">
      <c r="A63" s="15" t="s">
        <v>99</v>
      </c>
      <c r="B63" s="15" t="s">
        <v>351</v>
      </c>
      <c r="C63" s="15" t="s">
        <v>352</v>
      </c>
      <c r="D63" s="15" t="s">
        <v>228</v>
      </c>
    </row>
    <row r="64" spans="1:4" x14ac:dyDescent="0.2">
      <c r="A64" s="15" t="s">
        <v>101</v>
      </c>
      <c r="B64" s="15" t="s">
        <v>353</v>
      </c>
      <c r="C64" s="15" t="s">
        <v>354</v>
      </c>
      <c r="D64" s="15" t="s">
        <v>228</v>
      </c>
    </row>
    <row r="65" spans="1:4" x14ac:dyDescent="0.2">
      <c r="A65" s="15" t="s">
        <v>102</v>
      </c>
      <c r="B65" s="15" t="s">
        <v>355</v>
      </c>
      <c r="C65" s="15" t="s">
        <v>356</v>
      </c>
      <c r="D65" s="15" t="s">
        <v>228</v>
      </c>
    </row>
    <row r="66" spans="1:4" x14ac:dyDescent="0.2">
      <c r="A66" s="15" t="s">
        <v>103</v>
      </c>
      <c r="B66" s="15" t="s">
        <v>357</v>
      </c>
      <c r="C66" s="15" t="s">
        <v>358</v>
      </c>
      <c r="D66" s="15" t="s">
        <v>228</v>
      </c>
    </row>
    <row r="67" spans="1:4" x14ac:dyDescent="0.2">
      <c r="A67" s="15" t="s">
        <v>104</v>
      </c>
      <c r="B67" s="15" t="s">
        <v>359</v>
      </c>
      <c r="C67" s="15" t="s">
        <v>360</v>
      </c>
      <c r="D67" s="15" t="s">
        <v>228</v>
      </c>
    </row>
    <row r="68" spans="1:4" x14ac:dyDescent="0.2">
      <c r="A68" s="15" t="s">
        <v>105</v>
      </c>
      <c r="B68" s="15" t="s">
        <v>361</v>
      </c>
      <c r="C68" s="15" t="s">
        <v>362</v>
      </c>
      <c r="D68" s="15" t="s">
        <v>228</v>
      </c>
    </row>
    <row r="69" spans="1:4" x14ac:dyDescent="0.2">
      <c r="A69" s="15" t="s">
        <v>106</v>
      </c>
      <c r="B69" s="15" t="s">
        <v>363</v>
      </c>
      <c r="C69" s="15" t="s">
        <v>364</v>
      </c>
      <c r="D69" s="15" t="s">
        <v>228</v>
      </c>
    </row>
    <row r="70" spans="1:4" x14ac:dyDescent="0.2">
      <c r="A70" s="15" t="s">
        <v>107</v>
      </c>
      <c r="B70" s="15" t="s">
        <v>365</v>
      </c>
      <c r="C70" s="15" t="s">
        <v>366</v>
      </c>
      <c r="D70" s="15" t="s">
        <v>228</v>
      </c>
    </row>
    <row r="71" spans="1:4" x14ac:dyDescent="0.2">
      <c r="A71" s="15" t="s">
        <v>108</v>
      </c>
      <c r="B71" s="15" t="s">
        <v>367</v>
      </c>
      <c r="C71" s="15" t="s">
        <v>368</v>
      </c>
      <c r="D71" s="15" t="s">
        <v>228</v>
      </c>
    </row>
    <row r="72" spans="1:4" x14ac:dyDescent="0.2">
      <c r="A72" s="15" t="s">
        <v>109</v>
      </c>
      <c r="B72" s="15" t="s">
        <v>369</v>
      </c>
      <c r="C72" s="15" t="s">
        <v>370</v>
      </c>
      <c r="D72" s="15" t="s">
        <v>228</v>
      </c>
    </row>
    <row r="73" spans="1:4" x14ac:dyDescent="0.2">
      <c r="A73" s="15" t="s">
        <v>110</v>
      </c>
      <c r="B73" s="15" t="s">
        <v>371</v>
      </c>
      <c r="C73" s="15" t="s">
        <v>372</v>
      </c>
      <c r="D73" s="15" t="s">
        <v>228</v>
      </c>
    </row>
    <row r="74" spans="1:4" x14ac:dyDescent="0.2">
      <c r="A74" s="15" t="s">
        <v>111</v>
      </c>
      <c r="B74" s="15" t="s">
        <v>373</v>
      </c>
      <c r="C74" s="15" t="s">
        <v>374</v>
      </c>
      <c r="D74" s="15" t="s">
        <v>228</v>
      </c>
    </row>
    <row r="75" spans="1:4" x14ac:dyDescent="0.2">
      <c r="A75" s="15" t="s">
        <v>112</v>
      </c>
      <c r="B75" s="15" t="s">
        <v>375</v>
      </c>
      <c r="C75" s="15" t="s">
        <v>376</v>
      </c>
      <c r="D75" s="15" t="s">
        <v>228</v>
      </c>
    </row>
    <row r="76" spans="1:4" x14ac:dyDescent="0.2">
      <c r="A76" s="15" t="s">
        <v>113</v>
      </c>
      <c r="B76" s="15" t="s">
        <v>377</v>
      </c>
      <c r="C76" s="15" t="s">
        <v>378</v>
      </c>
      <c r="D76" s="15" t="s">
        <v>228</v>
      </c>
    </row>
    <row r="77" spans="1:4" x14ac:dyDescent="0.2">
      <c r="A77" s="15" t="s">
        <v>114</v>
      </c>
      <c r="B77" s="15" t="s">
        <v>379</v>
      </c>
      <c r="C77" s="15" t="s">
        <v>380</v>
      </c>
      <c r="D77" s="15" t="s">
        <v>228</v>
      </c>
    </row>
    <row r="78" spans="1:4" x14ac:dyDescent="0.2">
      <c r="A78" s="15" t="s">
        <v>115</v>
      </c>
      <c r="B78" s="15" t="s">
        <v>381</v>
      </c>
      <c r="C78" s="15" t="s">
        <v>382</v>
      </c>
      <c r="D78" s="15" t="s">
        <v>228</v>
      </c>
    </row>
    <row r="79" spans="1:4" x14ac:dyDescent="0.2">
      <c r="A79" s="15" t="s">
        <v>116</v>
      </c>
      <c r="B79" s="15" t="s">
        <v>383</v>
      </c>
      <c r="C79" s="15" t="s">
        <v>384</v>
      </c>
      <c r="D79" s="15" t="s">
        <v>228</v>
      </c>
    </row>
    <row r="80" spans="1:4" x14ac:dyDescent="0.2">
      <c r="A80" s="15" t="s">
        <v>117</v>
      </c>
      <c r="B80" s="15" t="s">
        <v>385</v>
      </c>
      <c r="C80" s="15" t="s">
        <v>386</v>
      </c>
      <c r="D80" s="15" t="s">
        <v>228</v>
      </c>
    </row>
    <row r="81" spans="1:4" x14ac:dyDescent="0.2">
      <c r="A81" s="15" t="s">
        <v>118</v>
      </c>
      <c r="B81" s="15" t="s">
        <v>387</v>
      </c>
      <c r="C81" s="15" t="s">
        <v>388</v>
      </c>
      <c r="D81" s="15" t="s">
        <v>228</v>
      </c>
    </row>
    <row r="82" spans="1:4" x14ac:dyDescent="0.2">
      <c r="A82" s="15" t="s">
        <v>119</v>
      </c>
      <c r="B82" s="15" t="s">
        <v>389</v>
      </c>
      <c r="C82" s="15" t="s">
        <v>390</v>
      </c>
      <c r="D82" s="15" t="s">
        <v>228</v>
      </c>
    </row>
    <row r="83" spans="1:4" x14ac:dyDescent="0.2">
      <c r="A83" s="15" t="s">
        <v>120</v>
      </c>
      <c r="B83" s="15" t="s">
        <v>391</v>
      </c>
      <c r="C83" s="15" t="s">
        <v>392</v>
      </c>
      <c r="D83" s="15" t="s">
        <v>228</v>
      </c>
    </row>
    <row r="84" spans="1:4" x14ac:dyDescent="0.2">
      <c r="A84" s="15" t="s">
        <v>121</v>
      </c>
      <c r="B84" s="15" t="s">
        <v>393</v>
      </c>
      <c r="C84" s="15" t="s">
        <v>394</v>
      </c>
      <c r="D84" s="15" t="s">
        <v>228</v>
      </c>
    </row>
    <row r="85" spans="1:4" x14ac:dyDescent="0.2">
      <c r="A85" s="15" t="s">
        <v>122</v>
      </c>
      <c r="B85" s="15" t="s">
        <v>395</v>
      </c>
      <c r="C85" s="15" t="s">
        <v>396</v>
      </c>
      <c r="D85" s="15" t="s">
        <v>228</v>
      </c>
    </row>
    <row r="86" spans="1:4" x14ac:dyDescent="0.2">
      <c r="A86" s="15" t="s">
        <v>123</v>
      </c>
      <c r="B86" s="15" t="s">
        <v>397</v>
      </c>
      <c r="C86" s="15" t="s">
        <v>398</v>
      </c>
      <c r="D86" s="15" t="s">
        <v>228</v>
      </c>
    </row>
    <row r="87" spans="1:4" x14ac:dyDescent="0.2">
      <c r="A87" s="15" t="s">
        <v>124</v>
      </c>
      <c r="B87" s="15" t="s">
        <v>399</v>
      </c>
      <c r="C87" s="15" t="s">
        <v>400</v>
      </c>
      <c r="D87" s="15" t="s">
        <v>228</v>
      </c>
    </row>
    <row r="88" spans="1:4" x14ac:dyDescent="0.2">
      <c r="A88" s="15" t="s">
        <v>125</v>
      </c>
      <c r="B88" s="15" t="s">
        <v>401</v>
      </c>
      <c r="C88" s="15" t="s">
        <v>402</v>
      </c>
      <c r="D88" s="15" t="s">
        <v>228</v>
      </c>
    </row>
    <row r="89" spans="1:4" x14ac:dyDescent="0.2">
      <c r="A89" s="15" t="s">
        <v>126</v>
      </c>
      <c r="B89" s="15" t="s">
        <v>403</v>
      </c>
      <c r="C89" s="15" t="s">
        <v>404</v>
      </c>
      <c r="D89" s="15" t="s">
        <v>228</v>
      </c>
    </row>
    <row r="90" spans="1:4" x14ac:dyDescent="0.2">
      <c r="A90" s="15" t="s">
        <v>127</v>
      </c>
      <c r="B90" s="15" t="s">
        <v>405</v>
      </c>
      <c r="C90" s="15" t="s">
        <v>406</v>
      </c>
      <c r="D90" s="15" t="s">
        <v>228</v>
      </c>
    </row>
    <row r="91" spans="1:4" x14ac:dyDescent="0.2">
      <c r="A91" s="15" t="s">
        <v>128</v>
      </c>
      <c r="B91" s="15" t="s">
        <v>407</v>
      </c>
      <c r="C91" s="15" t="s">
        <v>408</v>
      </c>
      <c r="D91" s="15" t="s">
        <v>228</v>
      </c>
    </row>
    <row r="92" spans="1:4" x14ac:dyDescent="0.2">
      <c r="A92" s="15" t="s">
        <v>129</v>
      </c>
      <c r="B92" s="15" t="s">
        <v>409</v>
      </c>
      <c r="C92" s="15" t="s">
        <v>410</v>
      </c>
      <c r="D92" s="15" t="s">
        <v>228</v>
      </c>
    </row>
    <row r="93" spans="1:4" x14ac:dyDescent="0.2">
      <c r="A93" s="15" t="s">
        <v>130</v>
      </c>
      <c r="B93" s="15" t="s">
        <v>411</v>
      </c>
      <c r="C93" s="15" t="s">
        <v>412</v>
      </c>
      <c r="D93" s="15" t="s">
        <v>228</v>
      </c>
    </row>
    <row r="94" spans="1:4" x14ac:dyDescent="0.2">
      <c r="A94" s="15" t="s">
        <v>131</v>
      </c>
      <c r="B94" s="15" t="s">
        <v>413</v>
      </c>
      <c r="C94" s="15" t="s">
        <v>414</v>
      </c>
      <c r="D94" s="15" t="s">
        <v>228</v>
      </c>
    </row>
    <row r="95" spans="1:4" x14ac:dyDescent="0.2">
      <c r="A95" s="15" t="s">
        <v>132</v>
      </c>
      <c r="B95" s="15" t="s">
        <v>415</v>
      </c>
      <c r="C95" s="15" t="s">
        <v>416</v>
      </c>
      <c r="D95" s="15" t="s">
        <v>228</v>
      </c>
    </row>
    <row r="96" spans="1:4" x14ac:dyDescent="0.2">
      <c r="A96" s="15" t="s">
        <v>133</v>
      </c>
      <c r="B96" s="15" t="s">
        <v>417</v>
      </c>
      <c r="C96" s="15" t="s">
        <v>418</v>
      </c>
      <c r="D96" s="15" t="s">
        <v>228</v>
      </c>
    </row>
    <row r="97" spans="1:4" x14ac:dyDescent="0.2">
      <c r="A97" s="15" t="s">
        <v>134</v>
      </c>
      <c r="B97" s="15" t="s">
        <v>419</v>
      </c>
      <c r="C97" s="15" t="s">
        <v>420</v>
      </c>
      <c r="D97" s="15" t="s">
        <v>228</v>
      </c>
    </row>
    <row r="98" spans="1:4" x14ac:dyDescent="0.2">
      <c r="A98" s="15" t="s">
        <v>135</v>
      </c>
      <c r="B98" s="15" t="s">
        <v>421</v>
      </c>
      <c r="C98" s="15" t="s">
        <v>422</v>
      </c>
      <c r="D98" s="15" t="s">
        <v>228</v>
      </c>
    </row>
    <row r="99" spans="1:4" x14ac:dyDescent="0.2">
      <c r="A99" s="15" t="s">
        <v>136</v>
      </c>
      <c r="B99" s="15" t="s">
        <v>423</v>
      </c>
      <c r="C99" s="15" t="s">
        <v>424</v>
      </c>
      <c r="D99" s="15" t="s">
        <v>228</v>
      </c>
    </row>
    <row r="100" spans="1:4" x14ac:dyDescent="0.2">
      <c r="A100" s="15" t="s">
        <v>137</v>
      </c>
      <c r="B100" s="15" t="s">
        <v>425</v>
      </c>
      <c r="C100" s="15" t="s">
        <v>426</v>
      </c>
      <c r="D100" s="15" t="s">
        <v>228</v>
      </c>
    </row>
    <row r="101" spans="1:4" x14ac:dyDescent="0.2">
      <c r="A101" s="15" t="s">
        <v>141</v>
      </c>
      <c r="B101" s="15" t="s">
        <v>427</v>
      </c>
      <c r="C101" s="15" t="s">
        <v>428</v>
      </c>
      <c r="D101" s="15" t="s">
        <v>228</v>
      </c>
    </row>
    <row r="102" spans="1:4" x14ac:dyDescent="0.2">
      <c r="A102" s="15" t="s">
        <v>142</v>
      </c>
      <c r="B102" s="15" t="s">
        <v>429</v>
      </c>
      <c r="C102" s="15" t="s">
        <v>430</v>
      </c>
      <c r="D102" s="15" t="s">
        <v>228</v>
      </c>
    </row>
    <row r="103" spans="1:4" x14ac:dyDescent="0.2">
      <c r="A103" s="15" t="s">
        <v>143</v>
      </c>
      <c r="B103" s="15" t="s">
        <v>431</v>
      </c>
      <c r="C103" s="15" t="s">
        <v>432</v>
      </c>
      <c r="D103" s="15" t="s">
        <v>228</v>
      </c>
    </row>
    <row r="104" spans="1:4" x14ac:dyDescent="0.2">
      <c r="A104" s="15" t="s">
        <v>145</v>
      </c>
      <c r="B104" s="15" t="s">
        <v>433</v>
      </c>
      <c r="C104" s="15" t="s">
        <v>434</v>
      </c>
      <c r="D104" s="15" t="s">
        <v>228</v>
      </c>
    </row>
    <row r="105" spans="1:4" x14ac:dyDescent="0.2">
      <c r="A105" s="15" t="s">
        <v>147</v>
      </c>
      <c r="B105" s="15" t="s">
        <v>435</v>
      </c>
      <c r="C105" s="15" t="s">
        <v>436</v>
      </c>
      <c r="D105" s="15" t="s">
        <v>228</v>
      </c>
    </row>
    <row r="106" spans="1:4" x14ac:dyDescent="0.2">
      <c r="A106" s="15" t="s">
        <v>148</v>
      </c>
      <c r="B106" s="15" t="s">
        <v>437</v>
      </c>
      <c r="C106" s="15" t="s">
        <v>438</v>
      </c>
      <c r="D106" s="15" t="s">
        <v>228</v>
      </c>
    </row>
    <row r="107" spans="1:4" x14ac:dyDescent="0.2">
      <c r="A107" s="15" t="s">
        <v>149</v>
      </c>
      <c r="B107" s="15" t="s">
        <v>439</v>
      </c>
      <c r="C107" s="15" t="s">
        <v>440</v>
      </c>
      <c r="D107" s="15" t="s">
        <v>228</v>
      </c>
    </row>
    <row r="108" spans="1:4" x14ac:dyDescent="0.2">
      <c r="A108" s="15" t="s">
        <v>150</v>
      </c>
      <c r="B108" s="15" t="s">
        <v>441</v>
      </c>
      <c r="C108" s="15" t="s">
        <v>442</v>
      </c>
      <c r="D108" s="15" t="s">
        <v>228</v>
      </c>
    </row>
    <row r="109" spans="1:4" x14ac:dyDescent="0.2">
      <c r="A109" s="15" t="s">
        <v>151</v>
      </c>
      <c r="B109" s="15" t="s">
        <v>443</v>
      </c>
      <c r="C109" s="15" t="s">
        <v>444</v>
      </c>
      <c r="D109" s="15" t="s">
        <v>228</v>
      </c>
    </row>
    <row r="110" spans="1:4" x14ac:dyDescent="0.2">
      <c r="A110" s="15" t="s">
        <v>152</v>
      </c>
      <c r="B110" s="15" t="s">
        <v>445</v>
      </c>
      <c r="C110" s="15" t="s">
        <v>446</v>
      </c>
      <c r="D110" s="15" t="s">
        <v>228</v>
      </c>
    </row>
    <row r="111" spans="1:4" x14ac:dyDescent="0.2">
      <c r="A111" s="15" t="s">
        <v>153</v>
      </c>
      <c r="B111" s="15" t="s">
        <v>447</v>
      </c>
      <c r="C111" s="15" t="s">
        <v>448</v>
      </c>
      <c r="D111" s="15" t="s">
        <v>228</v>
      </c>
    </row>
    <row r="112" spans="1:4" x14ac:dyDescent="0.2">
      <c r="A112" s="15" t="s">
        <v>155</v>
      </c>
      <c r="B112" s="15" t="s">
        <v>449</v>
      </c>
      <c r="C112" s="15" t="s">
        <v>450</v>
      </c>
      <c r="D112" s="15" t="s">
        <v>228</v>
      </c>
    </row>
    <row r="113" spans="1:4" x14ac:dyDescent="0.2">
      <c r="A113" s="15" t="s">
        <v>156</v>
      </c>
      <c r="B113" s="15" t="s">
        <v>451</v>
      </c>
      <c r="C113" s="15" t="s">
        <v>452</v>
      </c>
      <c r="D113" s="15" t="s">
        <v>228</v>
      </c>
    </row>
    <row r="114" spans="1:4" x14ac:dyDescent="0.2">
      <c r="A114" s="15" t="s">
        <v>157</v>
      </c>
      <c r="B114" s="15" t="s">
        <v>453</v>
      </c>
      <c r="C114" s="15" t="s">
        <v>454</v>
      </c>
      <c r="D114" s="15" t="s">
        <v>228</v>
      </c>
    </row>
    <row r="115" spans="1:4" x14ac:dyDescent="0.2">
      <c r="A115" s="15" t="s">
        <v>158</v>
      </c>
      <c r="B115" s="15" t="s">
        <v>455</v>
      </c>
      <c r="C115" s="15" t="s">
        <v>456</v>
      </c>
      <c r="D115" s="15" t="s">
        <v>228</v>
      </c>
    </row>
    <row r="116" spans="1:4" x14ac:dyDescent="0.2">
      <c r="A116" s="15" t="s">
        <v>159</v>
      </c>
      <c r="B116" s="15" t="s">
        <v>457</v>
      </c>
      <c r="C116" s="15" t="s">
        <v>458</v>
      </c>
      <c r="D116" s="15" t="s">
        <v>228</v>
      </c>
    </row>
    <row r="117" spans="1:4" x14ac:dyDescent="0.2">
      <c r="A117" s="15" t="s">
        <v>160</v>
      </c>
      <c r="B117" s="15" t="s">
        <v>459</v>
      </c>
      <c r="C117" s="15" t="s">
        <v>460</v>
      </c>
      <c r="D117" s="15" t="s">
        <v>228</v>
      </c>
    </row>
    <row r="118" spans="1:4" x14ac:dyDescent="0.2">
      <c r="A118" s="15" t="s">
        <v>161</v>
      </c>
      <c r="B118" s="15" t="s">
        <v>461</v>
      </c>
      <c r="C118" s="15" t="s">
        <v>462</v>
      </c>
      <c r="D118" s="15" t="s">
        <v>228</v>
      </c>
    </row>
    <row r="119" spans="1:4" x14ac:dyDescent="0.2">
      <c r="A119" s="15" t="s">
        <v>162</v>
      </c>
      <c r="B119" s="15" t="s">
        <v>463</v>
      </c>
      <c r="C119" s="15" t="s">
        <v>464</v>
      </c>
      <c r="D119" s="15" t="s">
        <v>228</v>
      </c>
    </row>
    <row r="120" spans="1:4" x14ac:dyDescent="0.2">
      <c r="A120" s="15" t="s">
        <v>163</v>
      </c>
      <c r="B120" s="15" t="s">
        <v>465</v>
      </c>
      <c r="C120" s="15" t="s">
        <v>466</v>
      </c>
      <c r="D120" s="15" t="s">
        <v>228</v>
      </c>
    </row>
    <row r="121" spans="1:4" x14ac:dyDescent="0.2">
      <c r="A121" s="15" t="s">
        <v>164</v>
      </c>
      <c r="B121" s="15" t="s">
        <v>467</v>
      </c>
      <c r="C121" s="15" t="s">
        <v>468</v>
      </c>
      <c r="D121" s="15" t="s">
        <v>228</v>
      </c>
    </row>
    <row r="122" spans="1:4" x14ac:dyDescent="0.2">
      <c r="A122" s="15" t="s">
        <v>165</v>
      </c>
      <c r="B122" s="15" t="s">
        <v>469</v>
      </c>
      <c r="C122" s="15" t="s">
        <v>470</v>
      </c>
      <c r="D122" s="15" t="s">
        <v>228</v>
      </c>
    </row>
    <row r="123" spans="1:4" x14ac:dyDescent="0.2">
      <c r="A123" s="15" t="s">
        <v>166</v>
      </c>
      <c r="B123" s="15" t="s">
        <v>471</v>
      </c>
      <c r="C123" s="15" t="s">
        <v>472</v>
      </c>
      <c r="D123" s="15" t="s">
        <v>228</v>
      </c>
    </row>
    <row r="124" spans="1:4" x14ac:dyDescent="0.2">
      <c r="A124" s="15" t="s">
        <v>167</v>
      </c>
      <c r="B124" s="15" t="s">
        <v>473</v>
      </c>
      <c r="C124" s="15" t="s">
        <v>474</v>
      </c>
      <c r="D124" s="15" t="s">
        <v>228</v>
      </c>
    </row>
    <row r="125" spans="1:4" x14ac:dyDescent="0.2">
      <c r="A125" s="15" t="s">
        <v>168</v>
      </c>
      <c r="B125" s="15" t="s">
        <v>475</v>
      </c>
      <c r="C125" s="15" t="s">
        <v>476</v>
      </c>
      <c r="D125" s="15" t="s">
        <v>228</v>
      </c>
    </row>
    <row r="126" spans="1:4" x14ac:dyDescent="0.2">
      <c r="A126" s="15" t="s">
        <v>169</v>
      </c>
      <c r="B126" s="15" t="s">
        <v>477</v>
      </c>
      <c r="C126" s="15" t="s">
        <v>478</v>
      </c>
      <c r="D126" s="15" t="s">
        <v>228</v>
      </c>
    </row>
    <row r="127" spans="1:4" x14ac:dyDescent="0.2">
      <c r="A127" s="15" t="s">
        <v>170</v>
      </c>
      <c r="B127" s="15" t="s">
        <v>479</v>
      </c>
      <c r="C127" s="15" t="s">
        <v>480</v>
      </c>
      <c r="D127" s="15" t="s">
        <v>228</v>
      </c>
    </row>
    <row r="128" spans="1:4" x14ac:dyDescent="0.2">
      <c r="A128" s="15" t="s">
        <v>171</v>
      </c>
      <c r="B128" s="15" t="s">
        <v>481</v>
      </c>
      <c r="C128" s="15" t="s">
        <v>482</v>
      </c>
      <c r="D128" s="15" t="s">
        <v>228</v>
      </c>
    </row>
    <row r="129" spans="1:4" x14ac:dyDescent="0.2">
      <c r="A129" s="15" t="s">
        <v>172</v>
      </c>
      <c r="B129" s="15" t="s">
        <v>483</v>
      </c>
      <c r="C129" s="15" t="s">
        <v>484</v>
      </c>
      <c r="D129" s="15" t="s">
        <v>228</v>
      </c>
    </row>
    <row r="130" spans="1:4" x14ac:dyDescent="0.2">
      <c r="A130" s="15" t="s">
        <v>173</v>
      </c>
      <c r="B130" s="15" t="s">
        <v>485</v>
      </c>
      <c r="C130" s="15" t="s">
        <v>486</v>
      </c>
      <c r="D130" s="15" t="s">
        <v>228</v>
      </c>
    </row>
    <row r="131" spans="1:4" x14ac:dyDescent="0.2">
      <c r="A131" s="15" t="s">
        <v>174</v>
      </c>
      <c r="B131" s="15" t="s">
        <v>487</v>
      </c>
      <c r="C131" s="15" t="s">
        <v>488</v>
      </c>
      <c r="D131" s="15" t="s">
        <v>228</v>
      </c>
    </row>
    <row r="132" spans="1:4" x14ac:dyDescent="0.2">
      <c r="A132" s="15" t="s">
        <v>175</v>
      </c>
      <c r="B132" s="15" t="s">
        <v>489</v>
      </c>
      <c r="C132" s="15" t="s">
        <v>490</v>
      </c>
      <c r="D132" s="15" t="s">
        <v>228</v>
      </c>
    </row>
    <row r="133" spans="1:4" x14ac:dyDescent="0.2">
      <c r="A133" s="15" t="s">
        <v>176</v>
      </c>
      <c r="B133" s="15" t="s">
        <v>491</v>
      </c>
      <c r="C133" s="15" t="s">
        <v>492</v>
      </c>
      <c r="D133" s="15" t="s">
        <v>228</v>
      </c>
    </row>
    <row r="134" spans="1:4" x14ac:dyDescent="0.2">
      <c r="A134" s="15" t="s">
        <v>177</v>
      </c>
      <c r="B134" s="15" t="s">
        <v>493</v>
      </c>
      <c r="C134" s="15" t="s">
        <v>494</v>
      </c>
      <c r="D134" s="15" t="s">
        <v>228</v>
      </c>
    </row>
    <row r="135" spans="1:4" x14ac:dyDescent="0.2">
      <c r="A135" s="15" t="s">
        <v>178</v>
      </c>
      <c r="B135" s="15" t="s">
        <v>495</v>
      </c>
      <c r="C135" s="15" t="s">
        <v>496</v>
      </c>
      <c r="D135" s="15" t="s">
        <v>228</v>
      </c>
    </row>
    <row r="136" spans="1:4" x14ac:dyDescent="0.2">
      <c r="A136" s="15" t="s">
        <v>179</v>
      </c>
      <c r="B136" s="15" t="s">
        <v>497</v>
      </c>
      <c r="C136" s="15" t="s">
        <v>498</v>
      </c>
      <c r="D136" s="15" t="s">
        <v>228</v>
      </c>
    </row>
    <row r="137" spans="1:4" x14ac:dyDescent="0.2">
      <c r="A137" s="15" t="s">
        <v>180</v>
      </c>
      <c r="B137" s="15" t="s">
        <v>499</v>
      </c>
      <c r="C137" s="15" t="s">
        <v>500</v>
      </c>
      <c r="D137" s="15" t="s">
        <v>228</v>
      </c>
    </row>
    <row r="138" spans="1:4" x14ac:dyDescent="0.2">
      <c r="A138" s="15" t="s">
        <v>181</v>
      </c>
      <c r="B138" s="15" t="s">
        <v>501</v>
      </c>
      <c r="C138" s="15" t="s">
        <v>502</v>
      </c>
      <c r="D138" s="15" t="s">
        <v>228</v>
      </c>
    </row>
    <row r="139" spans="1:4" x14ac:dyDescent="0.2">
      <c r="A139" s="15" t="s">
        <v>182</v>
      </c>
      <c r="B139" s="15" t="s">
        <v>503</v>
      </c>
      <c r="C139" s="15" t="s">
        <v>504</v>
      </c>
      <c r="D139" s="15" t="s">
        <v>228</v>
      </c>
    </row>
    <row r="140" spans="1:4" x14ac:dyDescent="0.2">
      <c r="A140" s="15" t="s">
        <v>183</v>
      </c>
      <c r="B140" s="15" t="s">
        <v>505</v>
      </c>
      <c r="C140" s="15" t="s">
        <v>506</v>
      </c>
      <c r="D140" s="15" t="s">
        <v>228</v>
      </c>
    </row>
    <row r="141" spans="1:4" x14ac:dyDescent="0.2">
      <c r="A141" s="15" t="s">
        <v>184</v>
      </c>
      <c r="B141" s="15" t="s">
        <v>507</v>
      </c>
      <c r="C141" s="15" t="s">
        <v>508</v>
      </c>
      <c r="D141" s="15" t="s">
        <v>228</v>
      </c>
    </row>
    <row r="142" spans="1:4" x14ac:dyDescent="0.2">
      <c r="A142" s="15" t="s">
        <v>185</v>
      </c>
      <c r="B142" s="15" t="s">
        <v>509</v>
      </c>
      <c r="C142" s="15" t="s">
        <v>510</v>
      </c>
      <c r="D142" s="15" t="s">
        <v>228</v>
      </c>
    </row>
    <row r="143" spans="1:4" x14ac:dyDescent="0.2">
      <c r="A143" s="15" t="s">
        <v>186</v>
      </c>
      <c r="B143" s="15" t="s">
        <v>511</v>
      </c>
      <c r="C143" s="15" t="s">
        <v>512</v>
      </c>
      <c r="D143" s="15" t="s">
        <v>228</v>
      </c>
    </row>
    <row r="144" spans="1:4" x14ac:dyDescent="0.2">
      <c r="A144" s="15" t="s">
        <v>187</v>
      </c>
      <c r="B144" s="15" t="s">
        <v>513</v>
      </c>
      <c r="C144" s="15" t="s">
        <v>514</v>
      </c>
      <c r="D144" s="15" t="s">
        <v>228</v>
      </c>
    </row>
    <row r="145" spans="1:4" x14ac:dyDescent="0.2">
      <c r="A145" s="15" t="s">
        <v>188</v>
      </c>
      <c r="B145" s="15" t="s">
        <v>515</v>
      </c>
      <c r="C145" s="15" t="s">
        <v>516</v>
      </c>
      <c r="D145" s="15" t="s">
        <v>228</v>
      </c>
    </row>
    <row r="146" spans="1:4" x14ac:dyDescent="0.2">
      <c r="A146" s="15" t="s">
        <v>189</v>
      </c>
      <c r="B146" s="15" t="s">
        <v>517</v>
      </c>
      <c r="C146" s="15" t="s">
        <v>518</v>
      </c>
      <c r="D146" s="15" t="s">
        <v>228</v>
      </c>
    </row>
    <row r="147" spans="1:4" x14ac:dyDescent="0.2">
      <c r="A147" s="15" t="s">
        <v>190</v>
      </c>
      <c r="B147" s="15" t="s">
        <v>519</v>
      </c>
      <c r="C147" s="15" t="s">
        <v>520</v>
      </c>
      <c r="D147" s="15" t="s">
        <v>228</v>
      </c>
    </row>
    <row r="148" spans="1:4" x14ac:dyDescent="0.2">
      <c r="A148" s="15" t="s">
        <v>191</v>
      </c>
      <c r="B148" s="15" t="s">
        <v>521</v>
      </c>
      <c r="C148" s="15" t="s">
        <v>522</v>
      </c>
      <c r="D148" s="15" t="s">
        <v>228</v>
      </c>
    </row>
    <row r="149" spans="1:4" x14ac:dyDescent="0.2">
      <c r="A149" s="15" t="s">
        <v>192</v>
      </c>
      <c r="B149" s="15" t="s">
        <v>523</v>
      </c>
      <c r="C149" s="15" t="s">
        <v>524</v>
      </c>
      <c r="D149" s="15" t="s">
        <v>228</v>
      </c>
    </row>
    <row r="150" spans="1:4" x14ac:dyDescent="0.2">
      <c r="A150" s="15" t="s">
        <v>193</v>
      </c>
      <c r="B150" s="15" t="s">
        <v>525</v>
      </c>
      <c r="C150" s="15" t="s">
        <v>526</v>
      </c>
      <c r="D150" s="15" t="s">
        <v>228</v>
      </c>
    </row>
    <row r="151" spans="1:4" x14ac:dyDescent="0.2">
      <c r="A151" s="15" t="s">
        <v>194</v>
      </c>
      <c r="B151" s="15" t="s">
        <v>527</v>
      </c>
      <c r="C151" s="15" t="s">
        <v>528</v>
      </c>
      <c r="D151" s="15" t="s">
        <v>228</v>
      </c>
    </row>
    <row r="152" spans="1:4" x14ac:dyDescent="0.2">
      <c r="A152" s="15" t="s">
        <v>195</v>
      </c>
      <c r="B152" s="15" t="s">
        <v>529</v>
      </c>
      <c r="C152" s="15" t="s">
        <v>530</v>
      </c>
      <c r="D152" s="15" t="s">
        <v>228</v>
      </c>
    </row>
    <row r="153" spans="1:4" x14ac:dyDescent="0.2">
      <c r="A153" s="15" t="s">
        <v>196</v>
      </c>
      <c r="B153" s="15" t="s">
        <v>531</v>
      </c>
      <c r="C153" s="15" t="s">
        <v>532</v>
      </c>
      <c r="D153" s="15" t="s">
        <v>228</v>
      </c>
    </row>
    <row r="154" spans="1:4" x14ac:dyDescent="0.2">
      <c r="A154" s="15" t="s">
        <v>197</v>
      </c>
      <c r="B154" s="15" t="s">
        <v>533</v>
      </c>
      <c r="C154" s="15" t="s">
        <v>534</v>
      </c>
      <c r="D154" s="15" t="s">
        <v>228</v>
      </c>
    </row>
    <row r="155" spans="1:4" x14ac:dyDescent="0.2">
      <c r="A155" s="15" t="s">
        <v>198</v>
      </c>
      <c r="B155" s="15" t="s">
        <v>535</v>
      </c>
      <c r="C155" s="15" t="s">
        <v>536</v>
      </c>
      <c r="D155" s="15" t="s">
        <v>228</v>
      </c>
    </row>
    <row r="156" spans="1:4" x14ac:dyDescent="0.2">
      <c r="A156" s="15" t="s">
        <v>199</v>
      </c>
      <c r="B156" s="15" t="s">
        <v>537</v>
      </c>
      <c r="C156" s="15" t="s">
        <v>538</v>
      </c>
      <c r="D156" s="15" t="s">
        <v>228</v>
      </c>
    </row>
    <row r="157" spans="1:4" x14ac:dyDescent="0.2">
      <c r="A157" s="15" t="s">
        <v>200</v>
      </c>
      <c r="B157" s="15" t="s">
        <v>539</v>
      </c>
      <c r="C157" s="15" t="s">
        <v>540</v>
      </c>
      <c r="D157" s="15" t="s">
        <v>228</v>
      </c>
    </row>
    <row r="158" spans="1:4" x14ac:dyDescent="0.2">
      <c r="A158" s="15" t="s">
        <v>201</v>
      </c>
      <c r="B158" s="15" t="s">
        <v>541</v>
      </c>
      <c r="C158" s="15" t="s">
        <v>542</v>
      </c>
      <c r="D158" s="15" t="s">
        <v>228</v>
      </c>
    </row>
    <row r="159" spans="1:4" x14ac:dyDescent="0.2">
      <c r="A159" s="15" t="s">
        <v>202</v>
      </c>
      <c r="B159" s="15" t="s">
        <v>543</v>
      </c>
      <c r="C159" s="15" t="s">
        <v>544</v>
      </c>
      <c r="D159" s="15" t="s">
        <v>228</v>
      </c>
    </row>
    <row r="160" spans="1:4" x14ac:dyDescent="0.2">
      <c r="A160" s="15" t="s">
        <v>203</v>
      </c>
      <c r="B160" s="15" t="s">
        <v>545</v>
      </c>
      <c r="C160" s="15" t="s">
        <v>546</v>
      </c>
      <c r="D160" s="15" t="s">
        <v>228</v>
      </c>
    </row>
    <row r="161" spans="1:4" x14ac:dyDescent="0.2">
      <c r="A161" s="15" t="s">
        <v>204</v>
      </c>
      <c r="B161" s="15" t="s">
        <v>547</v>
      </c>
      <c r="C161" s="15" t="s">
        <v>548</v>
      </c>
      <c r="D161" s="15" t="s">
        <v>228</v>
      </c>
    </row>
    <row r="162" spans="1:4" x14ac:dyDescent="0.2">
      <c r="A162" s="15" t="s">
        <v>205</v>
      </c>
      <c r="B162" s="15" t="s">
        <v>549</v>
      </c>
      <c r="C162" s="15" t="s">
        <v>550</v>
      </c>
      <c r="D162" s="15" t="s">
        <v>228</v>
      </c>
    </row>
    <row r="163" spans="1:4" x14ac:dyDescent="0.2">
      <c r="A163" s="15" t="s">
        <v>206</v>
      </c>
      <c r="B163" s="15" t="s">
        <v>551</v>
      </c>
      <c r="C163" s="15" t="s">
        <v>552</v>
      </c>
      <c r="D163" s="15" t="s">
        <v>228</v>
      </c>
    </row>
    <row r="164" spans="1:4" x14ac:dyDescent="0.2">
      <c r="A164" s="15" t="s">
        <v>207</v>
      </c>
      <c r="B164" s="15" t="s">
        <v>553</v>
      </c>
      <c r="C164" s="15" t="s">
        <v>554</v>
      </c>
      <c r="D164" s="15" t="s">
        <v>228</v>
      </c>
    </row>
    <row r="165" spans="1:4" x14ac:dyDescent="0.2">
      <c r="A165" s="15" t="s">
        <v>208</v>
      </c>
      <c r="B165" s="15" t="s">
        <v>555</v>
      </c>
      <c r="C165" s="15" t="s">
        <v>556</v>
      </c>
      <c r="D165" s="15" t="s">
        <v>228</v>
      </c>
    </row>
    <row r="166" spans="1:4" x14ac:dyDescent="0.2">
      <c r="A166" s="15" t="s">
        <v>209</v>
      </c>
      <c r="B166" s="15" t="s">
        <v>557</v>
      </c>
      <c r="C166" s="15" t="s">
        <v>558</v>
      </c>
      <c r="D166" s="15" t="s">
        <v>228</v>
      </c>
    </row>
    <row r="167" spans="1:4" x14ac:dyDescent="0.2">
      <c r="A167" s="15" t="s">
        <v>210</v>
      </c>
      <c r="B167" s="15" t="s">
        <v>559</v>
      </c>
      <c r="C167" s="15" t="s">
        <v>560</v>
      </c>
      <c r="D167" s="15" t="s">
        <v>228</v>
      </c>
    </row>
    <row r="168" spans="1:4" x14ac:dyDescent="0.2">
      <c r="A168" s="15" t="s">
        <v>211</v>
      </c>
      <c r="B168" s="15" t="s">
        <v>561</v>
      </c>
      <c r="C168" s="15" t="s">
        <v>562</v>
      </c>
      <c r="D168" s="15" t="s">
        <v>228</v>
      </c>
    </row>
    <row r="169" spans="1:4" x14ac:dyDescent="0.2">
      <c r="A169" s="15" t="s">
        <v>212</v>
      </c>
      <c r="B169" s="15" t="s">
        <v>563</v>
      </c>
      <c r="C169" s="15" t="s">
        <v>564</v>
      </c>
      <c r="D169" s="15" t="s">
        <v>228</v>
      </c>
    </row>
    <row r="170" spans="1:4" x14ac:dyDescent="0.2">
      <c r="A170" s="15" t="s">
        <v>213</v>
      </c>
      <c r="B170" s="15" t="s">
        <v>565</v>
      </c>
      <c r="C170" s="15" t="s">
        <v>566</v>
      </c>
      <c r="D170" s="15" t="s">
        <v>228</v>
      </c>
    </row>
    <row r="171" spans="1:4" x14ac:dyDescent="0.2">
      <c r="A171" s="15" t="s">
        <v>214</v>
      </c>
      <c r="B171" s="15" t="s">
        <v>567</v>
      </c>
      <c r="C171" s="15" t="s">
        <v>568</v>
      </c>
      <c r="D171" s="15" t="s">
        <v>228</v>
      </c>
    </row>
    <row r="172" spans="1:4" x14ac:dyDescent="0.2">
      <c r="A172" s="15" t="s">
        <v>215</v>
      </c>
      <c r="B172" s="15" t="s">
        <v>569</v>
      </c>
      <c r="C172" s="15" t="s">
        <v>570</v>
      </c>
      <c r="D172" s="15" t="s">
        <v>228</v>
      </c>
    </row>
    <row r="173" spans="1:4" x14ac:dyDescent="0.2">
      <c r="A173" s="15" t="s">
        <v>216</v>
      </c>
      <c r="B173" s="15" t="s">
        <v>571</v>
      </c>
      <c r="C173" s="15" t="s">
        <v>572</v>
      </c>
      <c r="D173" s="15" t="s">
        <v>228</v>
      </c>
    </row>
    <row r="174" spans="1:4" x14ac:dyDescent="0.2">
      <c r="A174" s="15" t="s">
        <v>217</v>
      </c>
      <c r="B174" s="15" t="s">
        <v>573</v>
      </c>
      <c r="C174" s="15" t="s">
        <v>574</v>
      </c>
      <c r="D174" s="15" t="s">
        <v>228</v>
      </c>
    </row>
    <row r="175" spans="1:4" x14ac:dyDescent="0.2">
      <c r="A175" s="15" t="s">
        <v>218</v>
      </c>
      <c r="B175" s="15" t="s">
        <v>575</v>
      </c>
      <c r="C175" s="15" t="s">
        <v>576</v>
      </c>
      <c r="D175" s="15" t="s">
        <v>228</v>
      </c>
    </row>
    <row r="176" spans="1:4" x14ac:dyDescent="0.2">
      <c r="A176" s="15" t="s">
        <v>219</v>
      </c>
      <c r="B176" s="15" t="s">
        <v>577</v>
      </c>
      <c r="C176" s="15" t="s">
        <v>578</v>
      </c>
      <c r="D176" s="15" t="s">
        <v>228</v>
      </c>
    </row>
    <row r="177" spans="1:4" x14ac:dyDescent="0.2">
      <c r="A177" s="15" t="s">
        <v>220</v>
      </c>
      <c r="B177" s="15" t="s">
        <v>579</v>
      </c>
      <c r="C177" s="15" t="s">
        <v>580</v>
      </c>
      <c r="D177" s="15" t="s">
        <v>228</v>
      </c>
    </row>
    <row r="178" spans="1:4" x14ac:dyDescent="0.2">
      <c r="A178" s="15" t="s">
        <v>221</v>
      </c>
      <c r="B178" s="15" t="s">
        <v>581</v>
      </c>
      <c r="C178" s="15" t="s">
        <v>582</v>
      </c>
      <c r="D178" s="15" t="s">
        <v>228</v>
      </c>
    </row>
    <row r="179" spans="1:4" x14ac:dyDescent="0.2">
      <c r="A179" s="15" t="s">
        <v>222</v>
      </c>
      <c r="B179" s="15" t="s">
        <v>583</v>
      </c>
      <c r="C179" s="15" t="s">
        <v>584</v>
      </c>
      <c r="D179" s="15" t="s">
        <v>228</v>
      </c>
    </row>
    <row r="180" spans="1:4" x14ac:dyDescent="0.2">
      <c r="A180" s="15" t="s">
        <v>223</v>
      </c>
      <c r="B180" s="15" t="s">
        <v>585</v>
      </c>
      <c r="C180" s="15" t="s">
        <v>586</v>
      </c>
      <c r="D180" s="15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64A7-C053-45D8-9881-B16E58654BD3}">
  <dimension ref="A1:D180"/>
  <sheetViews>
    <sheetView workbookViewId="0">
      <selection activeCell="F21" sqref="F21"/>
    </sheetView>
  </sheetViews>
  <sheetFormatPr defaultRowHeight="12.75" x14ac:dyDescent="0.2"/>
  <cols>
    <col min="1" max="1" width="29.42578125" bestFit="1" customWidth="1"/>
    <col min="2" max="4" width="29.42578125" customWidth="1"/>
  </cols>
  <sheetData>
    <row r="1" spans="1:4" ht="15" x14ac:dyDescent="0.25">
      <c r="A1" s="1" t="s">
        <v>0</v>
      </c>
      <c r="B1" s="1" t="s">
        <v>225</v>
      </c>
      <c r="C1" s="1" t="s">
        <v>227</v>
      </c>
      <c r="D1" s="1" t="s">
        <v>226</v>
      </c>
    </row>
    <row r="2" spans="1:4" ht="15" x14ac:dyDescent="0.25">
      <c r="A2" s="2" t="s">
        <v>29</v>
      </c>
      <c r="B2" s="2" t="str" cm="1">
        <f t="array" aca="1" ref="B2" ca="1">_xlfn.TEXTJOIN("",,CHAR(_xlfn.RANDARRAY(12,1,65,90,TRUE)))</f>
        <v>AGANPRJEONNN</v>
      </c>
      <c r="C2" s="2" t="s">
        <v>228</v>
      </c>
      <c r="D2" s="2" t="str">
        <f>RIGHT(A2, LEN(A2) - FIND("_", A2))</f>
        <v>moustafagomaa</v>
      </c>
    </row>
    <row r="3" spans="1:4" ht="15" x14ac:dyDescent="0.25">
      <c r="A3" s="2" t="s">
        <v>33</v>
      </c>
      <c r="B3" s="2" t="str" cm="1">
        <f t="array" aca="1" ref="B3" ca="1">_xlfn.TEXTJOIN("",,CHAR(_xlfn.RANDARRAY(12,1,65,90,TRUE)))</f>
        <v>FGSXZFXEKNMG</v>
      </c>
      <c r="C3" s="2" t="s">
        <v>228</v>
      </c>
      <c r="D3" s="2" t="str">
        <f t="shared" ref="D3:D66" si="0">RIGHT(A3, LEN(A3) - FIND("_", A3))</f>
        <v>mohamedmorsy02</v>
      </c>
    </row>
    <row r="4" spans="1:4" ht="15" x14ac:dyDescent="0.25">
      <c r="A4" s="2" t="s">
        <v>35</v>
      </c>
      <c r="B4" s="2" t="str" cm="1">
        <f t="array" aca="1" ref="B4" ca="1">_xlfn.TEXTJOIN("",,CHAR(_xlfn.RANDARRAY(12,1,65,90,TRUE)))</f>
        <v>UAOVDERRWXVL</v>
      </c>
      <c r="C4" s="2" t="s">
        <v>228</v>
      </c>
      <c r="D4" s="2" t="str">
        <f t="shared" si="0"/>
        <v>omaromara</v>
      </c>
    </row>
    <row r="5" spans="1:4" ht="15" x14ac:dyDescent="0.25">
      <c r="A5" s="2" t="s">
        <v>36</v>
      </c>
      <c r="B5" s="2" t="str" cm="1">
        <f t="array" aca="1" ref="B5" ca="1">_xlfn.TEXTJOIN("",,CHAR(_xlfn.RANDARRAY(12,1,65,90,TRUE)))</f>
        <v>KLEXBTVQRVTV</v>
      </c>
      <c r="C5" s="2" t="s">
        <v>228</v>
      </c>
      <c r="D5" s="2" t="str">
        <f t="shared" si="0"/>
        <v>ahmedmohamed18</v>
      </c>
    </row>
    <row r="6" spans="1:4" ht="15" x14ac:dyDescent="0.25">
      <c r="A6" s="2" t="s">
        <v>37</v>
      </c>
      <c r="B6" s="2" t="str" cm="1">
        <f t="array" aca="1" ref="B6" ca="1">_xlfn.TEXTJOIN("",,CHAR(_xlfn.RANDARRAY(12,1,65,90,TRUE)))</f>
        <v>DSPDEPOQVONH</v>
      </c>
      <c r="C6" s="2" t="s">
        <v>228</v>
      </c>
      <c r="D6" s="2" t="str">
        <f t="shared" si="0"/>
        <v>ahmeddalib</v>
      </c>
    </row>
    <row r="7" spans="1:4" ht="15" x14ac:dyDescent="0.25">
      <c r="A7" s="2" t="s">
        <v>40</v>
      </c>
      <c r="B7" s="2" t="str" cm="1">
        <f t="array" aca="1" ref="B7" ca="1">_xlfn.TEXTJOIN("",,CHAR(_xlfn.RANDARRAY(12,1,65,90,TRUE)))</f>
        <v>WVOMCDUFHRBE</v>
      </c>
      <c r="C7" s="2" t="s">
        <v>228</v>
      </c>
      <c r="D7" s="2" t="str">
        <f t="shared" si="0"/>
        <v>amrhassan</v>
      </c>
    </row>
    <row r="8" spans="1:4" ht="15" x14ac:dyDescent="0.25">
      <c r="A8" s="2" t="s">
        <v>42</v>
      </c>
      <c r="B8" s="2" t="str" cm="1">
        <f t="array" aca="1" ref="B8" ca="1">_xlfn.TEXTJOIN("",,CHAR(_xlfn.RANDARRAY(12,1,65,90,TRUE)))</f>
        <v>STBYKKQRXSSG</v>
      </c>
      <c r="C8" s="2" t="s">
        <v>228</v>
      </c>
      <c r="D8" s="2" t="str">
        <f t="shared" si="0"/>
        <v>alisaif</v>
      </c>
    </row>
    <row r="9" spans="1:4" ht="15" x14ac:dyDescent="0.25">
      <c r="A9" s="2" t="s">
        <v>43</v>
      </c>
      <c r="B9" s="2" t="str" cm="1">
        <f t="array" aca="1" ref="B9" ca="1">_xlfn.TEXTJOIN("",,CHAR(_xlfn.RANDARRAY(12,1,65,90,TRUE)))</f>
        <v>RTEXYKUQDSNL</v>
      </c>
      <c r="C9" s="2" t="s">
        <v>228</v>
      </c>
      <c r="D9" s="2" t="str">
        <f t="shared" si="0"/>
        <v>shadyabdelhay</v>
      </c>
    </row>
    <row r="10" spans="1:4" ht="15" x14ac:dyDescent="0.25">
      <c r="A10" s="2" t="s">
        <v>44</v>
      </c>
      <c r="B10" s="2" t="str" cm="1">
        <f t="array" aca="1" ref="B10" ca="1">_xlfn.TEXTJOIN("",,CHAR(_xlfn.RANDARRAY(12,1,65,90,TRUE)))</f>
        <v>XRRKTLVUFOSR</v>
      </c>
      <c r="C10" s="2" t="s">
        <v>228</v>
      </c>
      <c r="D10" s="2" t="str">
        <f t="shared" si="0"/>
        <v>maryamhemida</v>
      </c>
    </row>
    <row r="11" spans="1:4" ht="15" x14ac:dyDescent="0.25">
      <c r="A11" s="2" t="s">
        <v>45</v>
      </c>
      <c r="B11" s="2" t="str" cm="1">
        <f t="array" aca="1" ref="B11" ca="1">_xlfn.TEXTJOIN("",,CHAR(_xlfn.RANDARRAY(12,1,65,90,TRUE)))</f>
        <v>YTCOLHOSIUOO</v>
      </c>
      <c r="C11" s="2" t="s">
        <v>228</v>
      </c>
      <c r="D11" s="2" t="str">
        <f t="shared" si="0"/>
        <v>tasneemelmoaz</v>
      </c>
    </row>
    <row r="12" spans="1:4" ht="15" x14ac:dyDescent="0.25">
      <c r="A12" s="2" t="s">
        <v>46</v>
      </c>
      <c r="B12" s="2" t="str" cm="1">
        <f t="array" aca="1" ref="B12" ca="1">_xlfn.TEXTJOIN("",,CHAR(_xlfn.RANDARRAY(12,1,65,90,TRUE)))</f>
        <v>ZDLZQLAFONRC</v>
      </c>
      <c r="C12" s="2" t="s">
        <v>228</v>
      </c>
      <c r="D12" s="2" t="str">
        <f t="shared" si="0"/>
        <v>medhatelseady</v>
      </c>
    </row>
    <row r="13" spans="1:4" ht="15" x14ac:dyDescent="0.25">
      <c r="A13" s="2" t="s">
        <v>48</v>
      </c>
      <c r="B13" s="2" t="str" cm="1">
        <f t="array" aca="1" ref="B13" ca="1">_xlfn.TEXTJOIN("",,CHAR(_xlfn.RANDARRAY(12,1,65,90,TRUE)))</f>
        <v>UHWJICWWQOGN</v>
      </c>
      <c r="C13" s="2" t="s">
        <v>228</v>
      </c>
      <c r="D13" s="2" t="str">
        <f t="shared" si="0"/>
        <v>youssefabdlmanem</v>
      </c>
    </row>
    <row r="14" spans="1:4" ht="15" x14ac:dyDescent="0.25">
      <c r="A14" s="2" t="s">
        <v>49</v>
      </c>
      <c r="B14" s="2" t="str" cm="1">
        <f t="array" aca="1" ref="B14" ca="1">_xlfn.TEXTJOIN("",,CHAR(_xlfn.RANDARRAY(12,1,65,90,TRUE)))</f>
        <v>VYSDHFAWYUAA</v>
      </c>
      <c r="C14" s="2" t="s">
        <v>228</v>
      </c>
      <c r="D14" s="2" t="str">
        <f t="shared" si="0"/>
        <v>mohamedmoaty</v>
      </c>
    </row>
    <row r="15" spans="1:4" ht="15" x14ac:dyDescent="0.25">
      <c r="A15" s="2" t="s">
        <v>50</v>
      </c>
      <c r="B15" s="2" t="str" cm="1">
        <f t="array" aca="1" ref="B15" ca="1">_xlfn.TEXTJOIN("",,CHAR(_xlfn.RANDARRAY(12,1,65,90,TRUE)))</f>
        <v>EESWBJIVDXCI</v>
      </c>
      <c r="C15" s="2" t="s">
        <v>228</v>
      </c>
      <c r="D15" s="2" t="str">
        <f t="shared" si="0"/>
        <v>yousefahmed03</v>
      </c>
    </row>
    <row r="16" spans="1:4" ht="15" x14ac:dyDescent="0.25">
      <c r="A16" s="2" t="s">
        <v>51</v>
      </c>
      <c r="B16" s="2" t="str" cm="1">
        <f t="array" aca="1" ref="B16" ca="1">_xlfn.TEXTJOIN("",,CHAR(_xlfn.RANDARRAY(12,1,65,90,TRUE)))</f>
        <v>VSNSUZIUDHGH</v>
      </c>
      <c r="C16" s="2" t="s">
        <v>228</v>
      </c>
      <c r="D16" s="2" t="str">
        <f t="shared" si="0"/>
        <v>omniaelsayed</v>
      </c>
    </row>
    <row r="17" spans="1:4" ht="15" x14ac:dyDescent="0.25">
      <c r="A17" s="2" t="s">
        <v>52</v>
      </c>
      <c r="B17" s="2" t="str" cm="1">
        <f t="array" aca="1" ref="B17" ca="1">_xlfn.TEXTJOIN("",,CHAR(_xlfn.RANDARRAY(12,1,65,90,TRUE)))</f>
        <v>ZBCFJHZUGNDR</v>
      </c>
      <c r="C17" s="2" t="s">
        <v>228</v>
      </c>
      <c r="D17" s="2" t="str">
        <f t="shared" si="0"/>
        <v>rahmaeid</v>
      </c>
    </row>
    <row r="18" spans="1:4" ht="15" x14ac:dyDescent="0.25">
      <c r="A18" s="2" t="s">
        <v>53</v>
      </c>
      <c r="B18" s="2" t="str" cm="1">
        <f t="array" aca="1" ref="B18" ca="1">_xlfn.TEXTJOIN("",,CHAR(_xlfn.RANDARRAY(12,1,65,90,TRUE)))</f>
        <v>HWZQWZLTORSO</v>
      </c>
      <c r="C18" s="2" t="s">
        <v>228</v>
      </c>
      <c r="D18" s="2" t="str">
        <f t="shared" si="0"/>
        <v>hebaabdeltawab</v>
      </c>
    </row>
    <row r="19" spans="1:4" ht="15" x14ac:dyDescent="0.25">
      <c r="A19" s="2" t="s">
        <v>54</v>
      </c>
      <c r="B19" s="2" t="str" cm="1">
        <f t="array" aca="1" ref="B19" ca="1">_xlfn.TEXTJOIN("",,CHAR(_xlfn.RANDARRAY(12,1,65,90,TRUE)))</f>
        <v>JJNVTCAEUXWN</v>
      </c>
      <c r="C19" s="2" t="s">
        <v>228</v>
      </c>
      <c r="D19" s="2" t="str">
        <f t="shared" si="0"/>
        <v>ayamohamed02</v>
      </c>
    </row>
    <row r="20" spans="1:4" ht="15" x14ac:dyDescent="0.25">
      <c r="A20" s="2" t="s">
        <v>55</v>
      </c>
      <c r="B20" s="2" t="str" cm="1">
        <f t="array" aca="1" ref="B20" ca="1">_xlfn.TEXTJOIN("",,CHAR(_xlfn.RANDARRAY(12,1,65,90,TRUE)))</f>
        <v>PFABQEWILBBN</v>
      </c>
      <c r="C20" s="2" t="s">
        <v>228</v>
      </c>
      <c r="D20" s="2" t="str">
        <f t="shared" si="0"/>
        <v>dareenahmed</v>
      </c>
    </row>
    <row r="21" spans="1:4" ht="15" x14ac:dyDescent="0.25">
      <c r="A21" s="2" t="s">
        <v>56</v>
      </c>
      <c r="B21" s="2" t="str" cm="1">
        <f t="array" aca="1" ref="B21" ca="1">_xlfn.TEXTJOIN("",,CHAR(_xlfn.RANDARRAY(12,1,65,90,TRUE)))</f>
        <v>VCYSGGUIFIMQ</v>
      </c>
      <c r="C21" s="2" t="s">
        <v>228</v>
      </c>
      <c r="D21" s="2" t="str">
        <f t="shared" si="0"/>
        <v>andrewhenter</v>
      </c>
    </row>
    <row r="22" spans="1:4" ht="15" x14ac:dyDescent="0.25">
      <c r="A22" s="2" t="s">
        <v>57</v>
      </c>
      <c r="B22" s="2" t="str" cm="1">
        <f t="array" aca="1" ref="B22" ca="1">_xlfn.TEXTJOIN("",,CHAR(_xlfn.RANDARRAY(12,1,65,90,TRUE)))</f>
        <v>TUQLDWQSGTYM</v>
      </c>
      <c r="C22" s="2" t="s">
        <v>228</v>
      </c>
      <c r="D22" s="2" t="str">
        <f t="shared" si="0"/>
        <v>karimabdelghany</v>
      </c>
    </row>
    <row r="23" spans="1:4" ht="15" x14ac:dyDescent="0.25">
      <c r="A23" s="2" t="s">
        <v>58</v>
      </c>
      <c r="B23" s="2" t="str" cm="1">
        <f t="array" aca="1" ref="B23" ca="1">_xlfn.TEXTJOIN("",,CHAR(_xlfn.RANDARRAY(12,1,65,90,TRUE)))</f>
        <v>WGZIVCLMNPAR</v>
      </c>
      <c r="C23" s="2" t="s">
        <v>228</v>
      </c>
      <c r="D23" s="2" t="str">
        <f t="shared" si="0"/>
        <v>marwanelnoor</v>
      </c>
    </row>
    <row r="24" spans="1:4" ht="15" x14ac:dyDescent="0.25">
      <c r="A24" s="2" t="s">
        <v>59</v>
      </c>
      <c r="B24" s="2" t="str" cm="1">
        <f t="array" aca="1" ref="B24" ca="1">_xlfn.TEXTJOIN("",,CHAR(_xlfn.RANDARRAY(12,1,65,90,TRUE)))</f>
        <v>USVAKMCFKEEC</v>
      </c>
      <c r="C24" s="2" t="s">
        <v>228</v>
      </c>
      <c r="D24" s="2" t="str">
        <f t="shared" si="0"/>
        <v>ahmedelkader</v>
      </c>
    </row>
    <row r="25" spans="1:4" ht="15" x14ac:dyDescent="0.25">
      <c r="A25" s="2" t="s">
        <v>60</v>
      </c>
      <c r="B25" s="2" t="str" cm="1">
        <f t="array" aca="1" ref="B25" ca="1">_xlfn.TEXTJOIN("",,CHAR(_xlfn.RANDARRAY(12,1,65,90,TRUE)))</f>
        <v>XIKXDQQMFSDZ</v>
      </c>
      <c r="C25" s="2" t="s">
        <v>228</v>
      </c>
      <c r="D25" s="2" t="str">
        <f t="shared" si="0"/>
        <v>sherifali</v>
      </c>
    </row>
    <row r="26" spans="1:4" ht="15" x14ac:dyDescent="0.25">
      <c r="A26" s="2" t="s">
        <v>62</v>
      </c>
      <c r="B26" s="2" t="str" cm="1">
        <f t="array" aca="1" ref="B26" ca="1">_xlfn.TEXTJOIN("",,CHAR(_xlfn.RANDARRAY(12,1,65,90,TRUE)))</f>
        <v>ZSKKDFVSEFYV</v>
      </c>
      <c r="C26" s="2" t="s">
        <v>228</v>
      </c>
      <c r="D26" s="2" t="str">
        <f t="shared" si="0"/>
        <v>yousefmohamed02</v>
      </c>
    </row>
    <row r="27" spans="1:4" ht="15" x14ac:dyDescent="0.25">
      <c r="A27" s="2" t="s">
        <v>63</v>
      </c>
      <c r="B27" s="2" t="str" cm="1">
        <f t="array" aca="1" ref="B27" ca="1">_xlfn.TEXTJOIN("",,CHAR(_xlfn.RANDARRAY(12,1,65,90,TRUE)))</f>
        <v>LWRGCXJUAJFB</v>
      </c>
      <c r="C27" s="2" t="s">
        <v>228</v>
      </c>
      <c r="D27" s="2" t="str">
        <f t="shared" si="0"/>
        <v>ahmedibrahim07</v>
      </c>
    </row>
    <row r="28" spans="1:4" ht="15" x14ac:dyDescent="0.25">
      <c r="A28" s="2" t="s">
        <v>64</v>
      </c>
      <c r="B28" s="2" t="str" cm="1">
        <f t="array" aca="1" ref="B28" ca="1">_xlfn.TEXTJOIN("",,CHAR(_xlfn.RANDARRAY(12,1,65,90,TRUE)))</f>
        <v>WQLNRCQIUCJR</v>
      </c>
      <c r="C28" s="2" t="s">
        <v>228</v>
      </c>
      <c r="D28" s="2" t="str">
        <f t="shared" si="0"/>
        <v>mohamedabdullah02</v>
      </c>
    </row>
    <row r="29" spans="1:4" ht="15" x14ac:dyDescent="0.25">
      <c r="A29" s="2" t="s">
        <v>65</v>
      </c>
      <c r="B29" s="2" t="str" cm="1">
        <f t="array" aca="1" ref="B29" ca="1">_xlfn.TEXTJOIN("",,CHAR(_xlfn.RANDARRAY(12,1,65,90,TRUE)))</f>
        <v>BUUIUPPWQLRM</v>
      </c>
      <c r="C29" s="2" t="s">
        <v>228</v>
      </c>
      <c r="D29" s="2" t="str">
        <f t="shared" si="0"/>
        <v>marwanmohamed04</v>
      </c>
    </row>
    <row r="30" spans="1:4" ht="15" x14ac:dyDescent="0.25">
      <c r="A30" s="2" t="s">
        <v>66</v>
      </c>
      <c r="B30" s="2" t="str" cm="1">
        <f t="array" aca="1" ref="B30" ca="1">_xlfn.TEXTJOIN("",,CHAR(_xlfn.RANDARRAY(12,1,65,90,TRUE)))</f>
        <v>VSZRYSUCFTHG</v>
      </c>
      <c r="C30" s="2" t="s">
        <v>228</v>
      </c>
      <c r="D30" s="2" t="str">
        <f t="shared" si="0"/>
        <v>abdelrahmanrafaat</v>
      </c>
    </row>
    <row r="31" spans="1:4" ht="15" x14ac:dyDescent="0.25">
      <c r="A31" s="2" t="s">
        <v>67</v>
      </c>
      <c r="B31" s="2" t="str" cm="1">
        <f t="array" aca="1" ref="B31" ca="1">_xlfn.TEXTJOIN("",,CHAR(_xlfn.RANDARRAY(12,1,65,90,TRUE)))</f>
        <v>MDKXVRJKVYXZ</v>
      </c>
      <c r="C31" s="2" t="s">
        <v>228</v>
      </c>
      <c r="D31" s="2" t="str">
        <f t="shared" si="0"/>
        <v>abdelrahmanibrahim02</v>
      </c>
    </row>
    <row r="32" spans="1:4" ht="15" x14ac:dyDescent="0.25">
      <c r="A32" s="2" t="s">
        <v>68</v>
      </c>
      <c r="B32" s="2" t="str" cm="1">
        <f t="array" aca="1" ref="B32" ca="1">_xlfn.TEXTJOIN("",,CHAR(_xlfn.RANDARRAY(12,1,65,90,TRUE)))</f>
        <v>GRALUBYZIIHJ</v>
      </c>
      <c r="C32" s="2" t="s">
        <v>228</v>
      </c>
      <c r="D32" s="2" t="str">
        <f t="shared" si="0"/>
        <v>adhamabdelaziz</v>
      </c>
    </row>
    <row r="33" spans="1:4" ht="15" x14ac:dyDescent="0.25">
      <c r="A33" s="2" t="s">
        <v>69</v>
      </c>
      <c r="B33" s="2" t="str" cm="1">
        <f t="array" aca="1" ref="B33" ca="1">_xlfn.TEXTJOIN("",,CHAR(_xlfn.RANDARRAY(12,1,65,90,TRUE)))</f>
        <v>YOSPNPUZIIRC</v>
      </c>
      <c r="C33" s="2" t="s">
        <v>228</v>
      </c>
      <c r="D33" s="2" t="str">
        <f t="shared" si="0"/>
        <v>mohamedattia</v>
      </c>
    </row>
    <row r="34" spans="1:4" ht="15" x14ac:dyDescent="0.25">
      <c r="A34" s="2" t="s">
        <v>70</v>
      </c>
      <c r="B34" s="2" t="str" cm="1">
        <f t="array" aca="1" ref="B34" ca="1">_xlfn.TEXTJOIN("",,CHAR(_xlfn.RANDARRAY(12,1,65,90,TRUE)))</f>
        <v>DFBJCVKKGURX</v>
      </c>
      <c r="C34" s="2" t="s">
        <v>228</v>
      </c>
      <c r="D34" s="2" t="str">
        <f t="shared" si="0"/>
        <v>faroukamar</v>
      </c>
    </row>
    <row r="35" spans="1:4" ht="15" x14ac:dyDescent="0.25">
      <c r="A35" s="2" t="s">
        <v>71</v>
      </c>
      <c r="B35" s="2" t="str" cm="1">
        <f t="array" aca="1" ref="B35" ca="1">_xlfn.TEXTJOIN("",,CHAR(_xlfn.RANDARRAY(12,1,65,90,TRUE)))</f>
        <v>PJVJPHGXHUWB</v>
      </c>
      <c r="C35" s="2" t="s">
        <v>228</v>
      </c>
      <c r="D35" s="2" t="str">
        <f t="shared" si="0"/>
        <v>mohamedelsaman</v>
      </c>
    </row>
    <row r="36" spans="1:4" ht="15" x14ac:dyDescent="0.25">
      <c r="A36" s="2" t="s">
        <v>72</v>
      </c>
      <c r="B36" s="2" t="str" cm="1">
        <f t="array" aca="1" ref="B36" ca="1">_xlfn.TEXTJOIN("",,CHAR(_xlfn.RANDARRAY(12,1,65,90,TRUE)))</f>
        <v>FQXWEKVHUPTA</v>
      </c>
      <c r="C36" s="2" t="s">
        <v>228</v>
      </c>
      <c r="D36" s="2" t="str">
        <f t="shared" si="0"/>
        <v>karimgaber</v>
      </c>
    </row>
    <row r="37" spans="1:4" ht="15" x14ac:dyDescent="0.25">
      <c r="A37" s="2" t="s">
        <v>73</v>
      </c>
      <c r="B37" s="2" t="str" cm="1">
        <f t="array" aca="1" ref="B37" ca="1">_xlfn.TEXTJOIN("",,CHAR(_xlfn.RANDARRAY(12,1,65,90,TRUE)))</f>
        <v>LBLRTQGALOOP</v>
      </c>
      <c r="C37" s="2" t="s">
        <v>228</v>
      </c>
      <c r="D37" s="2" t="str">
        <f t="shared" si="0"/>
        <v>abdullahahmed03</v>
      </c>
    </row>
    <row r="38" spans="1:4" ht="15" x14ac:dyDescent="0.25">
      <c r="A38" s="2" t="s">
        <v>74</v>
      </c>
      <c r="B38" s="2" t="str" cm="1">
        <f t="array" aca="1" ref="B38" ca="1">_xlfn.TEXTJOIN("",,CHAR(_xlfn.RANDARRAY(12,1,65,90,TRUE)))</f>
        <v>EIAJZCDCRMCX</v>
      </c>
      <c r="C38" s="2" t="s">
        <v>228</v>
      </c>
      <c r="D38" s="2" t="str">
        <f t="shared" si="0"/>
        <v>karimamin</v>
      </c>
    </row>
    <row r="39" spans="1:4" ht="15" x14ac:dyDescent="0.25">
      <c r="A39" s="2" t="s">
        <v>75</v>
      </c>
      <c r="B39" s="2" t="str" cm="1">
        <f t="array" aca="1" ref="B39" ca="1">_xlfn.TEXTJOIN("",,CHAR(_xlfn.RANDARRAY(12,1,65,90,TRUE)))</f>
        <v>EOXEGWFGVVPR</v>
      </c>
      <c r="C39" s="2" t="s">
        <v>228</v>
      </c>
      <c r="D39" s="2" t="str">
        <f t="shared" si="0"/>
        <v>yehiamoustafa</v>
      </c>
    </row>
    <row r="40" spans="1:4" ht="15" x14ac:dyDescent="0.25">
      <c r="A40" s="2" t="s">
        <v>76</v>
      </c>
      <c r="B40" s="2" t="str" cm="1">
        <f t="array" aca="1" ref="B40" ca="1">_xlfn.TEXTJOIN("",,CHAR(_xlfn.RANDARRAY(12,1,65,90,TRUE)))</f>
        <v>FYGVKRRVZYHI</v>
      </c>
      <c r="C40" s="2" t="s">
        <v>228</v>
      </c>
      <c r="D40" s="2" t="str">
        <f t="shared" si="0"/>
        <v>alyglal</v>
      </c>
    </row>
    <row r="41" spans="1:4" ht="15" x14ac:dyDescent="0.25">
      <c r="A41" s="2" t="s">
        <v>77</v>
      </c>
      <c r="B41" s="2" t="str" cm="1">
        <f t="array" aca="1" ref="B41" ca="1">_xlfn.TEXTJOIN("",,CHAR(_xlfn.RANDARRAY(12,1,65,90,TRUE)))</f>
        <v>ITOXROSTRMXK</v>
      </c>
      <c r="C41" s="2" t="s">
        <v>228</v>
      </c>
      <c r="D41" s="2" t="str">
        <f t="shared" si="0"/>
        <v>abdelrahmanahmed07</v>
      </c>
    </row>
    <row r="42" spans="1:4" ht="15" x14ac:dyDescent="0.25">
      <c r="A42" s="2" t="s">
        <v>78</v>
      </c>
      <c r="B42" s="2" t="str" cm="1">
        <f t="array" aca="1" ref="B42" ca="1">_xlfn.TEXTJOIN("",,CHAR(_xlfn.RANDARRAY(12,1,65,90,TRUE)))</f>
        <v>FAXAYALEMVID</v>
      </c>
      <c r="C42" s="2" t="s">
        <v>228</v>
      </c>
      <c r="D42" s="2" t="str">
        <f t="shared" si="0"/>
        <v>mahmoudsayed03</v>
      </c>
    </row>
    <row r="43" spans="1:4" ht="15" x14ac:dyDescent="0.25">
      <c r="A43" s="2" t="s">
        <v>79</v>
      </c>
      <c r="B43" s="2" t="str" cm="1">
        <f t="array" aca="1" ref="B43" ca="1">_xlfn.TEXTJOIN("",,CHAR(_xlfn.RANDARRAY(12,1,65,90,TRUE)))</f>
        <v>CONMLSTMHNHZ</v>
      </c>
      <c r="C43" s="2" t="s">
        <v>228</v>
      </c>
      <c r="D43" s="2" t="str">
        <f t="shared" si="0"/>
        <v>mohamedrashad02</v>
      </c>
    </row>
    <row r="44" spans="1:4" ht="15" x14ac:dyDescent="0.25">
      <c r="A44" s="2" t="s">
        <v>80</v>
      </c>
      <c r="B44" s="2" t="str" cm="1">
        <f t="array" aca="1" ref="B44" ca="1">_xlfn.TEXTJOIN("",,CHAR(_xlfn.RANDARRAY(12,1,65,90,TRUE)))</f>
        <v>GLQZPEEJAONU</v>
      </c>
      <c r="C44" s="2" t="s">
        <v>228</v>
      </c>
      <c r="D44" s="2" t="str">
        <f t="shared" si="0"/>
        <v>eslamgaber</v>
      </c>
    </row>
    <row r="45" spans="1:4" ht="15" x14ac:dyDescent="0.25">
      <c r="A45" s="2" t="s">
        <v>81</v>
      </c>
      <c r="B45" s="2" t="str" cm="1">
        <f t="array" aca="1" ref="B45" ca="1">_xlfn.TEXTJOIN("",,CHAR(_xlfn.RANDARRAY(12,1,65,90,TRUE)))</f>
        <v>EXCQDOKHQLTR</v>
      </c>
      <c r="C45" s="2" t="s">
        <v>228</v>
      </c>
      <c r="D45" s="2" t="str">
        <f t="shared" si="0"/>
        <v>ahmedtalaat</v>
      </c>
    </row>
    <row r="46" spans="1:4" ht="15" x14ac:dyDescent="0.25">
      <c r="A46" s="2" t="s">
        <v>82</v>
      </c>
      <c r="B46" s="2" t="str" cm="1">
        <f t="array" aca="1" ref="B46" ca="1">_xlfn.TEXTJOIN("",,CHAR(_xlfn.RANDARRAY(12,1,65,90,TRUE)))</f>
        <v>FBWCJGMNGWWA</v>
      </c>
      <c r="C46" s="2" t="s">
        <v>228</v>
      </c>
      <c r="D46" s="2" t="str">
        <f t="shared" si="0"/>
        <v>mohamedhamada</v>
      </c>
    </row>
    <row r="47" spans="1:4" ht="15" x14ac:dyDescent="0.25">
      <c r="A47" s="2" t="s">
        <v>83</v>
      </c>
      <c r="B47" s="2" t="str" cm="1">
        <f t="array" aca="1" ref="B47" ca="1">_xlfn.TEXTJOIN("",,CHAR(_xlfn.RANDARRAY(12,1,65,90,TRUE)))</f>
        <v>SOLSPYTMSTOE</v>
      </c>
      <c r="C47" s="2" t="s">
        <v>228</v>
      </c>
      <c r="D47" s="2" t="str">
        <f t="shared" si="0"/>
        <v>khaledabdelsalam</v>
      </c>
    </row>
    <row r="48" spans="1:4" ht="15" x14ac:dyDescent="0.25">
      <c r="A48" s="2" t="s">
        <v>84</v>
      </c>
      <c r="B48" s="2" t="str" cm="1">
        <f t="array" aca="1" ref="B48" ca="1">_xlfn.TEXTJOIN("",,CHAR(_xlfn.RANDARRAY(12,1,65,90,TRUE)))</f>
        <v>GCWADVUFKXHU</v>
      </c>
      <c r="C48" s="2" t="s">
        <v>228</v>
      </c>
      <c r="D48" s="2" t="str">
        <f t="shared" si="0"/>
        <v>ahmedsaber02</v>
      </c>
    </row>
    <row r="49" spans="1:4" ht="15" x14ac:dyDescent="0.25">
      <c r="A49" s="2" t="s">
        <v>85</v>
      </c>
      <c r="B49" s="2" t="str" cm="1">
        <f t="array" aca="1" ref="B49" ca="1">_xlfn.TEXTJOIN("",,CHAR(_xlfn.RANDARRAY(12,1,65,90,TRUE)))</f>
        <v>HQWAWNFDJVZW</v>
      </c>
      <c r="C49" s="2" t="s">
        <v>228</v>
      </c>
      <c r="D49" s="2" t="str">
        <f t="shared" si="0"/>
        <v>moustafanagib</v>
      </c>
    </row>
    <row r="50" spans="1:4" ht="15" x14ac:dyDescent="0.25">
      <c r="A50" s="2" t="s">
        <v>86</v>
      </c>
      <c r="B50" s="2" t="str" cm="1">
        <f t="array" aca="1" ref="B50" ca="1">_xlfn.TEXTJOIN("",,CHAR(_xlfn.RANDARRAY(12,1,65,90,TRUE)))</f>
        <v>ZZWTKVILORTE</v>
      </c>
      <c r="C50" s="2" t="s">
        <v>228</v>
      </c>
      <c r="D50" s="2" t="str">
        <f t="shared" si="0"/>
        <v>abdelrahmanabdelhamid</v>
      </c>
    </row>
    <row r="51" spans="1:4" ht="15" x14ac:dyDescent="0.25">
      <c r="A51" s="2" t="s">
        <v>87</v>
      </c>
      <c r="B51" s="2" t="str" cm="1">
        <f t="array" aca="1" ref="B51" ca="1">_xlfn.TEXTJOIN("",,CHAR(_xlfn.RANDARRAY(12,1,65,90,TRUE)))</f>
        <v>LTWAYGDZCPYV</v>
      </c>
      <c r="C51" s="2" t="s">
        <v>228</v>
      </c>
      <c r="D51" s="2" t="str">
        <f t="shared" si="0"/>
        <v>ahmedgoda</v>
      </c>
    </row>
    <row r="52" spans="1:4" ht="15" x14ac:dyDescent="0.25">
      <c r="A52" s="2" t="s">
        <v>88</v>
      </c>
      <c r="B52" s="2" t="str" cm="1">
        <f t="array" aca="1" ref="B52" ca="1">_xlfn.TEXTJOIN("",,CHAR(_xlfn.RANDARRAY(12,1,65,90,TRUE)))</f>
        <v>GSTGPFNFMHEX</v>
      </c>
      <c r="C52" s="2" t="s">
        <v>228</v>
      </c>
      <c r="D52" s="2" t="str">
        <f t="shared" si="0"/>
        <v>georgejakop</v>
      </c>
    </row>
    <row r="53" spans="1:4" ht="15" x14ac:dyDescent="0.25">
      <c r="A53" s="2" t="s">
        <v>89</v>
      </c>
      <c r="B53" s="2" t="str" cm="1">
        <f t="array" aca="1" ref="B53" ca="1">_xlfn.TEXTJOIN("",,CHAR(_xlfn.RANDARRAY(12,1,65,90,TRUE)))</f>
        <v>YNHVDFBBCUOF</v>
      </c>
      <c r="C53" s="2" t="s">
        <v>228</v>
      </c>
      <c r="D53" s="2" t="str">
        <f t="shared" si="0"/>
        <v>elhussienymosaad</v>
      </c>
    </row>
    <row r="54" spans="1:4" ht="15" x14ac:dyDescent="0.25">
      <c r="A54" s="2" t="s">
        <v>90</v>
      </c>
      <c r="B54" s="2" t="str" cm="1">
        <f t="array" aca="1" ref="B54" ca="1">_xlfn.TEXTJOIN("",,CHAR(_xlfn.RANDARRAY(12,1,65,90,TRUE)))</f>
        <v>JDYHOXFDEHWJ</v>
      </c>
      <c r="C54" s="2" t="s">
        <v>228</v>
      </c>
      <c r="D54" s="2" t="str">
        <f t="shared" si="0"/>
        <v>ibrahimmohamed04</v>
      </c>
    </row>
    <row r="55" spans="1:4" ht="15" x14ac:dyDescent="0.25">
      <c r="A55" s="2" t="s">
        <v>91</v>
      </c>
      <c r="B55" s="2" t="str" cm="1">
        <f t="array" aca="1" ref="B55" ca="1">_xlfn.TEXTJOIN("",,CHAR(_xlfn.RANDARRAY(12,1,65,90,TRUE)))</f>
        <v>TAKHABYCAAXZ</v>
      </c>
      <c r="C55" s="2" t="s">
        <v>228</v>
      </c>
      <c r="D55" s="2" t="str">
        <f t="shared" si="0"/>
        <v>mohamedibrahim07</v>
      </c>
    </row>
    <row r="56" spans="1:4" ht="15" x14ac:dyDescent="0.25">
      <c r="A56" s="2" t="s">
        <v>92</v>
      </c>
      <c r="B56" s="2" t="str" cm="1">
        <f t="array" aca="1" ref="B56" ca="1">_xlfn.TEXTJOIN("",,CHAR(_xlfn.RANDARRAY(12,1,65,90,TRUE)))</f>
        <v>GDUMGYZDYDRT</v>
      </c>
      <c r="C56" s="2" t="s">
        <v>228</v>
      </c>
      <c r="D56" s="2" t="str">
        <f t="shared" si="0"/>
        <v>mahmoudahmed07</v>
      </c>
    </row>
    <row r="57" spans="1:4" ht="15" x14ac:dyDescent="0.25">
      <c r="A57" s="2" t="s">
        <v>93</v>
      </c>
      <c r="B57" s="2" t="str" cm="1">
        <f t="array" aca="1" ref="B57" ca="1">_xlfn.TEXTJOIN("",,CHAR(_xlfn.RANDARRAY(12,1,65,90,TRUE)))</f>
        <v>FMYFRDTVIYLC</v>
      </c>
      <c r="C57" s="2" t="s">
        <v>228</v>
      </c>
      <c r="D57" s="2" t="str">
        <f t="shared" si="0"/>
        <v>mohamedramadan</v>
      </c>
    </row>
    <row r="58" spans="1:4" ht="15" x14ac:dyDescent="0.25">
      <c r="A58" s="2" t="s">
        <v>94</v>
      </c>
      <c r="B58" s="2" t="str" cm="1">
        <f t="array" aca="1" ref="B58" ca="1">_xlfn.TEXTJOIN("",,CHAR(_xlfn.RANDARRAY(12,1,65,90,TRUE)))</f>
        <v>HIJYDNWZFXQB</v>
      </c>
      <c r="C58" s="2" t="s">
        <v>228</v>
      </c>
      <c r="D58" s="2" t="str">
        <f t="shared" si="0"/>
        <v>sayedsayed</v>
      </c>
    </row>
    <row r="59" spans="1:4" ht="15" x14ac:dyDescent="0.25">
      <c r="A59" s="2" t="s">
        <v>95</v>
      </c>
      <c r="B59" s="2" t="str" cm="1">
        <f t="array" aca="1" ref="B59" ca="1">_xlfn.TEXTJOIN("",,CHAR(_xlfn.RANDARRAY(12,1,65,90,TRUE)))</f>
        <v>CNBZUEXVIWRK</v>
      </c>
      <c r="C59" s="2" t="s">
        <v>228</v>
      </c>
      <c r="D59" s="2" t="str">
        <f t="shared" si="0"/>
        <v>ameeribrahim</v>
      </c>
    </row>
    <row r="60" spans="1:4" ht="15" x14ac:dyDescent="0.25">
      <c r="A60" s="2" t="s">
        <v>96</v>
      </c>
      <c r="B60" s="2" t="str" cm="1">
        <f t="array" aca="1" ref="B60" ca="1">_xlfn.TEXTJOIN("",,CHAR(_xlfn.RANDARRAY(12,1,65,90,TRUE)))</f>
        <v>JPGBCKAUDLHZ</v>
      </c>
      <c r="C60" s="2" t="s">
        <v>228</v>
      </c>
      <c r="D60" s="2" t="str">
        <f t="shared" si="0"/>
        <v>abdelrahmanzaky</v>
      </c>
    </row>
    <row r="61" spans="1:4" ht="15" x14ac:dyDescent="0.25">
      <c r="A61" s="2" t="s">
        <v>97</v>
      </c>
      <c r="B61" s="2" t="str" cm="1">
        <f t="array" aca="1" ref="B61" ca="1">_xlfn.TEXTJOIN("",,CHAR(_xlfn.RANDARRAY(12,1,65,90,TRUE)))</f>
        <v>QFIGLQHLZMIN</v>
      </c>
      <c r="C61" s="2" t="s">
        <v>228</v>
      </c>
      <c r="D61" s="2" t="str">
        <f t="shared" si="0"/>
        <v>mahmoudabbas02</v>
      </c>
    </row>
    <row r="62" spans="1:4" ht="15" x14ac:dyDescent="0.25">
      <c r="A62" s="2" t="s">
        <v>98</v>
      </c>
      <c r="B62" s="2" t="str" cm="1">
        <f t="array" aca="1" ref="B62" ca="1">_xlfn.TEXTJOIN("",,CHAR(_xlfn.RANDARRAY(12,1,65,90,TRUE)))</f>
        <v>ZEWIYLZMUPBD</v>
      </c>
      <c r="C62" s="2" t="s">
        <v>228</v>
      </c>
      <c r="D62" s="2" t="str">
        <f t="shared" si="0"/>
        <v>moustafamoustafa02</v>
      </c>
    </row>
    <row r="63" spans="1:4" ht="15" x14ac:dyDescent="0.25">
      <c r="A63" s="2" t="s">
        <v>99</v>
      </c>
      <c r="B63" s="2" t="str" cm="1">
        <f t="array" aca="1" ref="B63" ca="1">_xlfn.TEXTJOIN("",,CHAR(_xlfn.RANDARRAY(12,1,65,90,TRUE)))</f>
        <v>WOAOTTGDPQIP</v>
      </c>
      <c r="C63" s="2" t="s">
        <v>228</v>
      </c>
      <c r="D63" s="2" t="str">
        <f t="shared" si="0"/>
        <v>rehabahmed02</v>
      </c>
    </row>
    <row r="64" spans="1:4" ht="15" x14ac:dyDescent="0.25">
      <c r="A64" s="2" t="s">
        <v>101</v>
      </c>
      <c r="B64" s="2" t="str" cm="1">
        <f t="array" aca="1" ref="B64" ca="1">_xlfn.TEXTJOIN("",,CHAR(_xlfn.RANDARRAY(12,1,65,90,TRUE)))</f>
        <v>KJFOJBTYMAHG</v>
      </c>
      <c r="C64" s="2" t="s">
        <v>228</v>
      </c>
      <c r="D64" s="2" t="str">
        <f t="shared" si="0"/>
        <v>naghamibrahim</v>
      </c>
    </row>
    <row r="65" spans="1:4" ht="15" x14ac:dyDescent="0.25">
      <c r="A65" s="2" t="s">
        <v>102</v>
      </c>
      <c r="B65" s="2" t="str" cm="1">
        <f t="array" aca="1" ref="B65" ca="1">_xlfn.TEXTJOIN("",,CHAR(_xlfn.RANDARRAY(12,1,65,90,TRUE)))</f>
        <v>DBUJXBEKHRXI</v>
      </c>
      <c r="C65" s="2" t="s">
        <v>228</v>
      </c>
      <c r="D65" s="2" t="str">
        <f t="shared" si="0"/>
        <v>ghadaahmed</v>
      </c>
    </row>
    <row r="66" spans="1:4" ht="15" x14ac:dyDescent="0.25">
      <c r="A66" s="2" t="s">
        <v>103</v>
      </c>
      <c r="B66" s="2" t="str" cm="1">
        <f t="array" aca="1" ref="B66" ca="1">_xlfn.TEXTJOIN("",,CHAR(_xlfn.RANDARRAY(12,1,65,90,TRUE)))</f>
        <v>TSFZKABPUIMI</v>
      </c>
      <c r="C66" s="2" t="s">
        <v>228</v>
      </c>
      <c r="D66" s="2" t="str">
        <f t="shared" si="0"/>
        <v>ayaabdelhamid</v>
      </c>
    </row>
    <row r="67" spans="1:4" ht="15" x14ac:dyDescent="0.25">
      <c r="A67" s="2" t="s">
        <v>104</v>
      </c>
      <c r="B67" s="2" t="str" cm="1">
        <f t="array" aca="1" ref="B67" ca="1">_xlfn.TEXTJOIN("",,CHAR(_xlfn.RANDARRAY(12,1,65,90,TRUE)))</f>
        <v>CWSILNYXCBEN</v>
      </c>
      <c r="C67" s="2" t="s">
        <v>228</v>
      </c>
      <c r="D67" s="2" t="str">
        <f t="shared" ref="D67:D130" si="1">RIGHT(A67, LEN(A67) - FIND("_", A67))</f>
        <v>farahabdelhamid</v>
      </c>
    </row>
    <row r="68" spans="1:4" ht="15" x14ac:dyDescent="0.25">
      <c r="A68" s="2" t="s">
        <v>105</v>
      </c>
      <c r="B68" s="2" t="str" cm="1">
        <f t="array" aca="1" ref="B68" ca="1">_xlfn.TEXTJOIN("",,CHAR(_xlfn.RANDARRAY(12,1,65,90,TRUE)))</f>
        <v>AXWCTCTYJXQO</v>
      </c>
      <c r="C68" s="2" t="s">
        <v>228</v>
      </c>
      <c r="D68" s="2" t="str">
        <f t="shared" si="1"/>
        <v>hanaabdelaty</v>
      </c>
    </row>
    <row r="69" spans="1:4" ht="15" x14ac:dyDescent="0.25">
      <c r="A69" s="2" t="s">
        <v>106</v>
      </c>
      <c r="B69" s="2" t="str" cm="1">
        <f t="array" aca="1" ref="B69" ca="1">_xlfn.TEXTJOIN("",,CHAR(_xlfn.RANDARRAY(12,1,65,90,TRUE)))</f>
        <v>NVBMPONDBFNP</v>
      </c>
      <c r="C69" s="2" t="s">
        <v>228</v>
      </c>
      <c r="D69" s="2" t="str">
        <f t="shared" si="1"/>
        <v>faridaelsamea</v>
      </c>
    </row>
    <row r="70" spans="1:4" ht="15" x14ac:dyDescent="0.25">
      <c r="A70" s="2" t="s">
        <v>107</v>
      </c>
      <c r="B70" s="2" t="str" cm="1">
        <f t="array" aca="1" ref="B70" ca="1">_xlfn.TEXTJOIN("",,CHAR(_xlfn.RANDARRAY(12,1,65,90,TRUE)))</f>
        <v>OLGPTWMDIXEN</v>
      </c>
      <c r="C70" s="2" t="s">
        <v>228</v>
      </c>
      <c r="D70" s="2" t="str">
        <f t="shared" si="1"/>
        <v>nadafathi</v>
      </c>
    </row>
    <row r="71" spans="1:4" ht="15" x14ac:dyDescent="0.25">
      <c r="A71" s="2" t="s">
        <v>108</v>
      </c>
      <c r="B71" s="2" t="str" cm="1">
        <f t="array" aca="1" ref="B71" ca="1">_xlfn.TEXTJOIN("",,CHAR(_xlfn.RANDARRAY(12,1,65,90,TRUE)))</f>
        <v>TWFUBPYCFINY</v>
      </c>
      <c r="C71" s="2" t="s">
        <v>228</v>
      </c>
      <c r="D71" s="2" t="str">
        <f t="shared" si="1"/>
        <v>ayamohamed03</v>
      </c>
    </row>
    <row r="72" spans="1:4" ht="15" x14ac:dyDescent="0.25">
      <c r="A72" s="2" t="s">
        <v>109</v>
      </c>
      <c r="B72" s="2" t="str" cm="1">
        <f t="array" aca="1" ref="B72" ca="1">_xlfn.TEXTJOIN("",,CHAR(_xlfn.RANDARRAY(12,1,65,90,TRUE)))</f>
        <v>BWFGOIQHGFSK</v>
      </c>
      <c r="C72" s="2" t="s">
        <v>228</v>
      </c>
      <c r="D72" s="2" t="str">
        <f t="shared" si="1"/>
        <v>alaaahmed03</v>
      </c>
    </row>
    <row r="73" spans="1:4" ht="15" x14ac:dyDescent="0.25">
      <c r="A73" s="2" t="s">
        <v>110</v>
      </c>
      <c r="B73" s="2" t="str" cm="1">
        <f t="array" aca="1" ref="B73" ca="1">_xlfn.TEXTJOIN("",,CHAR(_xlfn.RANDARRAY(12,1,65,90,TRUE)))</f>
        <v>MFMTASLIQAXS</v>
      </c>
      <c r="C73" s="2" t="s">
        <v>228</v>
      </c>
      <c r="D73" s="2" t="str">
        <f t="shared" si="1"/>
        <v>esraaabdelhady</v>
      </c>
    </row>
    <row r="74" spans="1:4" ht="15" x14ac:dyDescent="0.25">
      <c r="A74" s="2" t="s">
        <v>111</v>
      </c>
      <c r="B74" s="2" t="str" cm="1">
        <f t="array" aca="1" ref="B74" ca="1">_xlfn.TEXTJOIN("",,CHAR(_xlfn.RANDARRAY(12,1,65,90,TRUE)))</f>
        <v>HNPEWFXNERSC</v>
      </c>
      <c r="C74" s="2" t="s">
        <v>228</v>
      </c>
      <c r="D74" s="2" t="str">
        <f t="shared" si="1"/>
        <v>rahmaragab</v>
      </c>
    </row>
    <row r="75" spans="1:4" ht="15" x14ac:dyDescent="0.25">
      <c r="A75" s="2" t="s">
        <v>112</v>
      </c>
      <c r="B75" s="2" t="str" cm="1">
        <f t="array" aca="1" ref="B75" ca="1">_xlfn.TEXTJOIN("",,CHAR(_xlfn.RANDARRAY(12,1,65,90,TRUE)))</f>
        <v>AOPLYOFDXYCD</v>
      </c>
      <c r="C75" s="2" t="s">
        <v>228</v>
      </c>
      <c r="D75" s="2" t="str">
        <f t="shared" si="1"/>
        <v>raniaaahmed</v>
      </c>
    </row>
    <row r="76" spans="1:4" ht="15" x14ac:dyDescent="0.25">
      <c r="A76" s="2" t="s">
        <v>113</v>
      </c>
      <c r="B76" s="2" t="str" cm="1">
        <f t="array" aca="1" ref="B76" ca="1">_xlfn.TEXTJOIN("",,CHAR(_xlfn.RANDARRAY(12,1,65,90,TRUE)))</f>
        <v>KDPGGMKFFXEB</v>
      </c>
      <c r="C76" s="2" t="s">
        <v>228</v>
      </c>
      <c r="D76" s="2" t="str">
        <f t="shared" si="1"/>
        <v>marwahamdy</v>
      </c>
    </row>
    <row r="77" spans="1:4" ht="15" x14ac:dyDescent="0.25">
      <c r="A77" s="2" t="s">
        <v>114</v>
      </c>
      <c r="B77" s="2" t="str" cm="1">
        <f t="array" aca="1" ref="B77" ca="1">_xlfn.TEXTJOIN("",,CHAR(_xlfn.RANDARRAY(12,1,65,90,TRUE)))</f>
        <v>QRCNQEJDHLOH</v>
      </c>
      <c r="C77" s="2" t="s">
        <v>228</v>
      </c>
      <c r="D77" s="2" t="str">
        <f t="shared" si="1"/>
        <v>dinaabdullah</v>
      </c>
    </row>
    <row r="78" spans="1:4" ht="15" x14ac:dyDescent="0.25">
      <c r="A78" s="2" t="s">
        <v>115</v>
      </c>
      <c r="B78" s="2" t="str" cm="1">
        <f t="array" aca="1" ref="B78" ca="1">_xlfn.TEXTJOIN("",,CHAR(_xlfn.RANDARRAY(12,1,65,90,TRUE)))</f>
        <v>PSWJQBGHPPVM</v>
      </c>
      <c r="C78" s="2" t="s">
        <v>228</v>
      </c>
      <c r="D78" s="2" t="str">
        <f t="shared" si="1"/>
        <v>alaahussein</v>
      </c>
    </row>
    <row r="79" spans="1:4" ht="15" x14ac:dyDescent="0.25">
      <c r="A79" s="2" t="s">
        <v>116</v>
      </c>
      <c r="B79" s="2" t="str" cm="1">
        <f t="array" aca="1" ref="B79" ca="1">_xlfn.TEXTJOIN("",,CHAR(_xlfn.RANDARRAY(12,1,65,90,TRUE)))</f>
        <v>VDDRRJYGHDZZ</v>
      </c>
      <c r="C79" s="2" t="s">
        <v>228</v>
      </c>
      <c r="D79" s="2" t="str">
        <f t="shared" si="1"/>
        <v>mariamhabib</v>
      </c>
    </row>
    <row r="80" spans="1:4" ht="15" x14ac:dyDescent="0.25">
      <c r="A80" s="2" t="s">
        <v>117</v>
      </c>
      <c r="B80" s="2" t="str" cm="1">
        <f t="array" aca="1" ref="B80" ca="1">_xlfn.TEXTJOIN("",,CHAR(_xlfn.RANDARRAY(12,1,65,90,TRUE)))</f>
        <v>OLWSFXKUSICZ</v>
      </c>
      <c r="C80" s="2" t="s">
        <v>228</v>
      </c>
      <c r="D80" s="2" t="str">
        <f t="shared" si="1"/>
        <v>esraaahmed03</v>
      </c>
    </row>
    <row r="81" spans="1:4" ht="15" x14ac:dyDescent="0.25">
      <c r="A81" s="2" t="s">
        <v>118</v>
      </c>
      <c r="B81" s="2" t="str" cm="1">
        <f t="array" aca="1" ref="B81" ca="1">_xlfn.TEXTJOIN("",,CHAR(_xlfn.RANDARRAY(12,1,65,90,TRUE)))</f>
        <v>POLOXEBJYEXG</v>
      </c>
      <c r="C81" s="2" t="s">
        <v>228</v>
      </c>
      <c r="D81" s="2" t="str">
        <f t="shared" si="1"/>
        <v>shaimaamahmoud</v>
      </c>
    </row>
    <row r="82" spans="1:4" ht="15" x14ac:dyDescent="0.25">
      <c r="A82" s="2" t="s">
        <v>119</v>
      </c>
      <c r="B82" s="2" t="str" cm="1">
        <f t="array" aca="1" ref="B82" ca="1">_xlfn.TEXTJOIN("",,CHAR(_xlfn.RANDARRAY(12,1,65,90,TRUE)))</f>
        <v>OAKIWMDRGXKR</v>
      </c>
      <c r="C82" s="2" t="s">
        <v>228</v>
      </c>
      <c r="D82" s="2" t="str">
        <f t="shared" si="1"/>
        <v>saraelmaghny</v>
      </c>
    </row>
    <row r="83" spans="1:4" ht="15" x14ac:dyDescent="0.25">
      <c r="A83" s="2" t="s">
        <v>120</v>
      </c>
      <c r="B83" s="2" t="str" cm="1">
        <f t="array" aca="1" ref="B83" ca="1">_xlfn.TEXTJOIN("",,CHAR(_xlfn.RANDARRAY(12,1,65,90,TRUE)))</f>
        <v>PYLEFGFBEPNB</v>
      </c>
      <c r="C83" s="2" t="s">
        <v>228</v>
      </c>
      <c r="D83" s="2" t="str">
        <f t="shared" si="1"/>
        <v>ghadaabdelaziz</v>
      </c>
    </row>
    <row r="84" spans="1:4" ht="15" x14ac:dyDescent="0.25">
      <c r="A84" s="2" t="s">
        <v>121</v>
      </c>
      <c r="B84" s="2" t="str" cm="1">
        <f t="array" aca="1" ref="B84" ca="1">_xlfn.TEXTJOIN("",,CHAR(_xlfn.RANDARRAY(12,1,65,90,TRUE)))</f>
        <v>BFPMYXBHAYFR</v>
      </c>
      <c r="C84" s="2" t="s">
        <v>228</v>
      </c>
      <c r="D84" s="2" t="str">
        <f t="shared" si="1"/>
        <v>sohilaelsayed</v>
      </c>
    </row>
    <row r="85" spans="1:4" ht="15" x14ac:dyDescent="0.25">
      <c r="A85" s="2" t="s">
        <v>122</v>
      </c>
      <c r="B85" s="2" t="str" cm="1">
        <f t="array" aca="1" ref="B85" ca="1">_xlfn.TEXTJOIN("",,CHAR(_xlfn.RANDARRAY(12,1,65,90,TRUE)))</f>
        <v>JHLMBQCPULOA</v>
      </c>
      <c r="C85" s="2" t="s">
        <v>228</v>
      </c>
      <c r="D85" s="2" t="str">
        <f t="shared" si="1"/>
        <v>rawanfarag</v>
      </c>
    </row>
    <row r="86" spans="1:4" ht="15" x14ac:dyDescent="0.25">
      <c r="A86" s="2" t="s">
        <v>123</v>
      </c>
      <c r="B86" s="2" t="str" cm="1">
        <f t="array" aca="1" ref="B86" ca="1">_xlfn.TEXTJOIN("",,CHAR(_xlfn.RANDARRAY(12,1,65,90,TRUE)))</f>
        <v>NMNWIYGOJUBI</v>
      </c>
      <c r="C86" s="2" t="s">
        <v>228</v>
      </c>
      <c r="D86" s="2" t="str">
        <f t="shared" si="1"/>
        <v>alaasaied</v>
      </c>
    </row>
    <row r="87" spans="1:4" ht="15" x14ac:dyDescent="0.25">
      <c r="A87" s="2" t="s">
        <v>124</v>
      </c>
      <c r="B87" s="2" t="str" cm="1">
        <f t="array" aca="1" ref="B87" ca="1">_xlfn.TEXTJOIN("",,CHAR(_xlfn.RANDARRAY(12,1,65,90,TRUE)))</f>
        <v>QADOEODJWVJV</v>
      </c>
      <c r="C87" s="2" t="s">
        <v>228</v>
      </c>
      <c r="D87" s="2" t="str">
        <f t="shared" si="1"/>
        <v>osamaahmed02</v>
      </c>
    </row>
    <row r="88" spans="1:4" ht="15" x14ac:dyDescent="0.25">
      <c r="A88" s="2" t="s">
        <v>125</v>
      </c>
      <c r="B88" s="2" t="str" cm="1">
        <f t="array" aca="1" ref="B88" ca="1">_xlfn.TEXTJOIN("",,CHAR(_xlfn.RANDARRAY(12,1,65,90,TRUE)))</f>
        <v>TDJKQZROVSLD</v>
      </c>
      <c r="C88" s="2" t="s">
        <v>228</v>
      </c>
      <c r="D88" s="2" t="str">
        <f t="shared" si="1"/>
        <v>mayerfawzy</v>
      </c>
    </row>
    <row r="89" spans="1:4" ht="15" x14ac:dyDescent="0.25">
      <c r="A89" s="2" t="s">
        <v>126</v>
      </c>
      <c r="B89" s="2" t="str" cm="1">
        <f t="array" aca="1" ref="B89" ca="1">_xlfn.TEXTJOIN("",,CHAR(_xlfn.RANDARRAY(12,1,65,90,TRUE)))</f>
        <v>QUFIFVSKGXBI</v>
      </c>
      <c r="C89" s="2" t="s">
        <v>228</v>
      </c>
      <c r="D89" s="2" t="str">
        <f t="shared" si="1"/>
        <v>mohamedmohamed17</v>
      </c>
    </row>
    <row r="90" spans="1:4" ht="15" x14ac:dyDescent="0.25">
      <c r="A90" s="2" t="s">
        <v>127</v>
      </c>
      <c r="B90" s="2" t="str" cm="1">
        <f t="array" aca="1" ref="B90" ca="1">_xlfn.TEXTJOIN("",,CHAR(_xlfn.RANDARRAY(12,1,65,90,TRUE)))</f>
        <v>NQKWSJUHJZCY</v>
      </c>
      <c r="C90" s="2" t="s">
        <v>228</v>
      </c>
      <c r="D90" s="2" t="str">
        <f t="shared" si="1"/>
        <v>mohamedriad</v>
      </c>
    </row>
    <row r="91" spans="1:4" ht="15" x14ac:dyDescent="0.25">
      <c r="A91" s="2" t="s">
        <v>128</v>
      </c>
      <c r="B91" s="2" t="str" cm="1">
        <f t="array" aca="1" ref="B91" ca="1">_xlfn.TEXTJOIN("",,CHAR(_xlfn.RANDARRAY(12,1,65,90,TRUE)))</f>
        <v>CFICITICNYVF</v>
      </c>
      <c r="C91" s="2" t="s">
        <v>228</v>
      </c>
      <c r="D91" s="2" t="str">
        <f t="shared" si="1"/>
        <v>fadymamdouh</v>
      </c>
    </row>
    <row r="92" spans="1:4" ht="15" x14ac:dyDescent="0.25">
      <c r="A92" s="2" t="s">
        <v>129</v>
      </c>
      <c r="B92" s="2" t="str" cm="1">
        <f t="array" aca="1" ref="B92" ca="1">_xlfn.TEXTJOIN("",,CHAR(_xlfn.RANDARRAY(12,1,65,90,TRUE)))</f>
        <v>JQYWTZJMVNKY</v>
      </c>
      <c r="C92" s="2" t="s">
        <v>228</v>
      </c>
      <c r="D92" s="2" t="str">
        <f t="shared" si="1"/>
        <v>ramadanmahmoud</v>
      </c>
    </row>
    <row r="93" spans="1:4" ht="15" x14ac:dyDescent="0.25">
      <c r="A93" s="2" t="s">
        <v>130</v>
      </c>
      <c r="B93" s="2" t="str" cm="1">
        <f t="array" aca="1" ref="B93" ca="1">_xlfn.TEXTJOIN("",,CHAR(_xlfn.RANDARRAY(12,1,65,90,TRUE)))</f>
        <v>CAUSPHBRQMFK</v>
      </c>
      <c r="C93" s="2" t="s">
        <v>228</v>
      </c>
      <c r="D93" s="2" t="str">
        <f t="shared" si="1"/>
        <v>ziadabdelhameed</v>
      </c>
    </row>
    <row r="94" spans="1:4" ht="15" x14ac:dyDescent="0.25">
      <c r="A94" s="2" t="s">
        <v>131</v>
      </c>
      <c r="B94" s="2" t="str" cm="1">
        <f t="array" aca="1" ref="B94" ca="1">_xlfn.TEXTJOIN("",,CHAR(_xlfn.RANDARRAY(12,1,65,90,TRUE)))</f>
        <v>LXTRLZNWGYJJ</v>
      </c>
      <c r="C94" s="2" t="s">
        <v>228</v>
      </c>
      <c r="D94" s="2" t="str">
        <f t="shared" si="1"/>
        <v>ahmedelmarghany</v>
      </c>
    </row>
    <row r="95" spans="1:4" ht="15" x14ac:dyDescent="0.25">
      <c r="A95" s="2" t="s">
        <v>132</v>
      </c>
      <c r="B95" s="2" t="str" cm="1">
        <f t="array" aca="1" ref="B95" ca="1">_xlfn.TEXTJOIN("",,CHAR(_xlfn.RANDARRAY(12,1,65,90,TRUE)))</f>
        <v>WGBCRRSYVSBY</v>
      </c>
      <c r="C95" s="2" t="s">
        <v>228</v>
      </c>
      <c r="D95" s="2" t="str">
        <f t="shared" si="1"/>
        <v>ibrahimabdelkareem</v>
      </c>
    </row>
    <row r="96" spans="1:4" ht="15" x14ac:dyDescent="0.25">
      <c r="A96" s="2" t="s">
        <v>133</v>
      </c>
      <c r="B96" s="2" t="str" cm="1">
        <f t="array" aca="1" ref="B96" ca="1">_xlfn.TEXTJOIN("",,CHAR(_xlfn.RANDARRAY(12,1,65,90,TRUE)))</f>
        <v>CHVRAPLUZMRG</v>
      </c>
      <c r="C96" s="2" t="s">
        <v>228</v>
      </c>
      <c r="D96" s="2" t="str">
        <f t="shared" si="1"/>
        <v>ahmedelmoaty</v>
      </c>
    </row>
    <row r="97" spans="1:4" ht="15" x14ac:dyDescent="0.25">
      <c r="A97" s="2" t="s">
        <v>134</v>
      </c>
      <c r="B97" s="2" t="str" cm="1">
        <f t="array" aca="1" ref="B97" ca="1">_xlfn.TEXTJOIN("",,CHAR(_xlfn.RANDARRAY(12,1,65,90,TRUE)))</f>
        <v>KGXKNKKKWUQT</v>
      </c>
      <c r="C97" s="2" t="s">
        <v>228</v>
      </c>
      <c r="D97" s="2" t="str">
        <f t="shared" si="1"/>
        <v>ashrafmohamed</v>
      </c>
    </row>
    <row r="98" spans="1:4" ht="15" x14ac:dyDescent="0.25">
      <c r="A98" s="2" t="s">
        <v>135</v>
      </c>
      <c r="B98" s="2" t="str" cm="1">
        <f t="array" aca="1" ref="B98" ca="1">_xlfn.TEXTJOIN("",,CHAR(_xlfn.RANDARRAY(12,1,65,90,TRUE)))</f>
        <v>HAGFEXPCLAGH</v>
      </c>
      <c r="C98" s="2" t="s">
        <v>228</v>
      </c>
      <c r="D98" s="2" t="str">
        <f t="shared" si="1"/>
        <v>ahmedibrahim06</v>
      </c>
    </row>
    <row r="99" spans="1:4" ht="15" x14ac:dyDescent="0.25">
      <c r="A99" s="2" t="s">
        <v>136</v>
      </c>
      <c r="B99" s="2" t="str" cm="1">
        <f t="array" aca="1" ref="B99" ca="1">_xlfn.TEXTJOIN("",,CHAR(_xlfn.RANDARRAY(12,1,65,90,TRUE)))</f>
        <v>FABFJPYUKGVT</v>
      </c>
      <c r="C99" s="2" t="s">
        <v>228</v>
      </c>
      <c r="D99" s="2" t="str">
        <f t="shared" si="1"/>
        <v>shadykamel</v>
      </c>
    </row>
    <row r="100" spans="1:4" ht="15" x14ac:dyDescent="0.25">
      <c r="A100" s="2" t="s">
        <v>137</v>
      </c>
      <c r="B100" s="2" t="str" cm="1">
        <f t="array" aca="1" ref="B100" ca="1">_xlfn.TEXTJOIN("",,CHAR(_xlfn.RANDARRAY(12,1,65,90,TRUE)))</f>
        <v>XFCDAIWEGYQV</v>
      </c>
      <c r="C100" s="2" t="s">
        <v>228</v>
      </c>
      <c r="D100" s="2" t="str">
        <f t="shared" si="1"/>
        <v>hassanhassan04</v>
      </c>
    </row>
    <row r="101" spans="1:4" ht="15" x14ac:dyDescent="0.25">
      <c r="A101" s="2" t="s">
        <v>141</v>
      </c>
      <c r="B101" s="2" t="str" cm="1">
        <f t="array" aca="1" ref="B101" ca="1">_xlfn.TEXTJOIN("",,CHAR(_xlfn.RANDARRAY(12,1,65,90,TRUE)))</f>
        <v>CUAXWXBLVZWN</v>
      </c>
      <c r="C101" s="2" t="s">
        <v>228</v>
      </c>
      <c r="D101" s="2" t="str">
        <f t="shared" si="1"/>
        <v>ahmedmohamed17</v>
      </c>
    </row>
    <row r="102" spans="1:4" ht="15" x14ac:dyDescent="0.25">
      <c r="A102" s="2" t="s">
        <v>142</v>
      </c>
      <c r="B102" s="2" t="str" cm="1">
        <f t="array" aca="1" ref="B102" ca="1">_xlfn.TEXTJOIN("",,CHAR(_xlfn.RANDARRAY(12,1,65,90,TRUE)))</f>
        <v>CJJJKNKKHUCV</v>
      </c>
      <c r="C102" s="2" t="s">
        <v>228</v>
      </c>
      <c r="D102" s="2" t="str">
        <f t="shared" si="1"/>
        <v>felopaterabdo</v>
      </c>
    </row>
    <row r="103" spans="1:4" ht="15" x14ac:dyDescent="0.25">
      <c r="A103" s="2" t="s">
        <v>143</v>
      </c>
      <c r="B103" s="2" t="str" cm="1">
        <f t="array" aca="1" ref="B103" ca="1">_xlfn.TEXTJOIN("",,CHAR(_xlfn.RANDARRAY(12,1,65,90,TRUE)))</f>
        <v>SJAHIPCPGMWB</v>
      </c>
      <c r="C103" s="2" t="s">
        <v>228</v>
      </c>
      <c r="D103" s="2" t="str">
        <f t="shared" si="1"/>
        <v>hazemeltoukhy</v>
      </c>
    </row>
    <row r="104" spans="1:4" ht="15" x14ac:dyDescent="0.25">
      <c r="A104" s="2" t="s">
        <v>145</v>
      </c>
      <c r="B104" s="2" t="str" cm="1">
        <f t="array" aca="1" ref="B104" ca="1">_xlfn.TEXTJOIN("",,CHAR(_xlfn.RANDARRAY(12,1,65,90,TRUE)))</f>
        <v>EPOGHSFWFBRV</v>
      </c>
      <c r="C104" s="2" t="s">
        <v>228</v>
      </c>
      <c r="D104" s="2" t="str">
        <f t="shared" si="1"/>
        <v>mohamedfarouk</v>
      </c>
    </row>
    <row r="105" spans="1:4" ht="15" x14ac:dyDescent="0.25">
      <c r="A105" s="2" t="s">
        <v>147</v>
      </c>
      <c r="B105" s="2" t="str" cm="1">
        <f t="array" aca="1" ref="B105" ca="1">_xlfn.TEXTJOIN("",,CHAR(_xlfn.RANDARRAY(12,1,65,90,TRUE)))</f>
        <v>KKRWNQKHACNI</v>
      </c>
      <c r="C105" s="2" t="s">
        <v>228</v>
      </c>
      <c r="D105" s="2" t="str">
        <f t="shared" si="1"/>
        <v>mostafafared</v>
      </c>
    </row>
    <row r="106" spans="1:4" ht="15" x14ac:dyDescent="0.25">
      <c r="A106" s="2" t="s">
        <v>148</v>
      </c>
      <c r="B106" s="2" t="str" cm="1">
        <f t="array" aca="1" ref="B106" ca="1">_xlfn.TEXTJOIN("",,CHAR(_xlfn.RANDARRAY(12,1,65,90,TRUE)))</f>
        <v>YDSZEXQPEQMR</v>
      </c>
      <c r="C106" s="2" t="s">
        <v>228</v>
      </c>
      <c r="D106" s="2" t="str">
        <f t="shared" si="1"/>
        <v>kareemmohamed</v>
      </c>
    </row>
    <row r="107" spans="1:4" ht="15" x14ac:dyDescent="0.25">
      <c r="A107" s="2" t="s">
        <v>149</v>
      </c>
      <c r="B107" s="2" t="str" cm="1">
        <f t="array" aca="1" ref="B107" ca="1">_xlfn.TEXTJOIN("",,CHAR(_xlfn.RANDARRAY(12,1,65,90,TRUE)))</f>
        <v>HLNGQSYHOSDP</v>
      </c>
      <c r="C107" s="2" t="s">
        <v>228</v>
      </c>
      <c r="D107" s="2" t="str">
        <f t="shared" si="1"/>
        <v>adhamahmed02</v>
      </c>
    </row>
    <row r="108" spans="1:4" ht="15" x14ac:dyDescent="0.25">
      <c r="A108" s="2" t="s">
        <v>150</v>
      </c>
      <c r="B108" s="2" t="str" cm="1">
        <f t="array" aca="1" ref="B108" ca="1">_xlfn.TEXTJOIN("",,CHAR(_xlfn.RANDARRAY(12,1,65,90,TRUE)))</f>
        <v>AIDBZNITXNNB</v>
      </c>
      <c r="C108" s="2" t="s">
        <v>228</v>
      </c>
      <c r="D108" s="2" t="str">
        <f t="shared" si="1"/>
        <v>abdullahmohamed04</v>
      </c>
    </row>
    <row r="109" spans="1:4" ht="15" x14ac:dyDescent="0.25">
      <c r="A109" s="2" t="s">
        <v>151</v>
      </c>
      <c r="B109" s="2" t="str" cm="1">
        <f t="array" aca="1" ref="B109" ca="1">_xlfn.TEXTJOIN("",,CHAR(_xlfn.RANDARRAY(12,1,65,90,TRUE)))</f>
        <v>UKDKWFFXEVXE</v>
      </c>
      <c r="C109" s="2" t="s">
        <v>228</v>
      </c>
      <c r="D109" s="2" t="str">
        <f t="shared" si="1"/>
        <v>karimyehia</v>
      </c>
    </row>
    <row r="110" spans="1:4" ht="15" x14ac:dyDescent="0.25">
      <c r="A110" s="2" t="s">
        <v>152</v>
      </c>
      <c r="B110" s="2" t="str" cm="1">
        <f t="array" aca="1" ref="B110" ca="1">_xlfn.TEXTJOIN("",,CHAR(_xlfn.RANDARRAY(12,1,65,90,TRUE)))</f>
        <v>JGOUKFNFSSQE</v>
      </c>
      <c r="C110" s="2" t="s">
        <v>228</v>
      </c>
      <c r="D110" s="2" t="str">
        <f t="shared" si="1"/>
        <v>naderahmed02</v>
      </c>
    </row>
    <row r="111" spans="1:4" ht="15" x14ac:dyDescent="0.25">
      <c r="A111" s="2" t="s">
        <v>153</v>
      </c>
      <c r="B111" s="2" t="str" cm="1">
        <f t="array" aca="1" ref="B111" ca="1">_xlfn.TEXTJOIN("",,CHAR(_xlfn.RANDARRAY(12,1,65,90,TRUE)))</f>
        <v>FLIOQEHCYGHF</v>
      </c>
      <c r="C111" s="2" t="s">
        <v>228</v>
      </c>
      <c r="D111" s="2" t="str">
        <f t="shared" si="1"/>
        <v>hamdyhamdy02</v>
      </c>
    </row>
    <row r="112" spans="1:4" ht="15" x14ac:dyDescent="0.25">
      <c r="A112" s="2" t="s">
        <v>155</v>
      </c>
      <c r="B112" s="2" t="str" cm="1">
        <f t="array" aca="1" ref="B112" ca="1">_xlfn.TEXTJOIN("",,CHAR(_xlfn.RANDARRAY(12,1,65,90,TRUE)))</f>
        <v>DKPQTPJJLXJM</v>
      </c>
      <c r="C112" s="2" t="s">
        <v>228</v>
      </c>
      <c r="D112" s="2" t="str">
        <f t="shared" si="1"/>
        <v>andrewhabib</v>
      </c>
    </row>
    <row r="113" spans="1:4" ht="15" x14ac:dyDescent="0.25">
      <c r="A113" s="2" t="s">
        <v>156</v>
      </c>
      <c r="B113" s="2" t="str" cm="1">
        <f t="array" aca="1" ref="B113" ca="1">_xlfn.TEXTJOIN("",,CHAR(_xlfn.RANDARRAY(12,1,65,90,TRUE)))</f>
        <v>BBEKZDEGZUAS</v>
      </c>
      <c r="C113" s="2" t="s">
        <v>228</v>
      </c>
      <c r="D113" s="2" t="str">
        <f t="shared" si="1"/>
        <v>mohanadabdallah</v>
      </c>
    </row>
    <row r="114" spans="1:4" ht="15" x14ac:dyDescent="0.25">
      <c r="A114" s="2" t="s">
        <v>157</v>
      </c>
      <c r="B114" s="2" t="str" cm="1">
        <f t="array" aca="1" ref="B114" ca="1">_xlfn.TEXTJOIN("",,CHAR(_xlfn.RANDARRAY(12,1,65,90,TRUE)))</f>
        <v>TFFEZCBKUYRL</v>
      </c>
      <c r="C114" s="2" t="s">
        <v>228</v>
      </c>
      <c r="D114" s="2" t="str">
        <f t="shared" si="1"/>
        <v>ahmedalsafty</v>
      </c>
    </row>
    <row r="115" spans="1:4" ht="15" x14ac:dyDescent="0.25">
      <c r="A115" s="2" t="s">
        <v>158</v>
      </c>
      <c r="B115" s="2" t="str" cm="1">
        <f t="array" aca="1" ref="B115" ca="1">_xlfn.TEXTJOIN("",,CHAR(_xlfn.RANDARRAY(12,1,65,90,TRUE)))</f>
        <v>BIPSBXCZDORP</v>
      </c>
      <c r="C115" s="2" t="s">
        <v>228</v>
      </c>
      <c r="D115" s="2" t="str">
        <f t="shared" si="1"/>
        <v>rafaelarmia</v>
      </c>
    </row>
    <row r="116" spans="1:4" ht="15" x14ac:dyDescent="0.25">
      <c r="A116" s="2" t="s">
        <v>159</v>
      </c>
      <c r="B116" s="2" t="str" cm="1">
        <f t="array" aca="1" ref="B116" ca="1">_xlfn.TEXTJOIN("",,CHAR(_xlfn.RANDARRAY(12,1,65,90,TRUE)))</f>
        <v>YKXLBWXEULHW</v>
      </c>
      <c r="C116" s="2" t="s">
        <v>228</v>
      </c>
      <c r="D116" s="2" t="str">
        <f t="shared" si="1"/>
        <v>mernaelmetwally</v>
      </c>
    </row>
    <row r="117" spans="1:4" ht="15" x14ac:dyDescent="0.25">
      <c r="A117" s="2" t="s">
        <v>160</v>
      </c>
      <c r="B117" s="2" t="str" cm="1">
        <f t="array" aca="1" ref="B117" ca="1">_xlfn.TEXTJOIN("",,CHAR(_xlfn.RANDARRAY(12,1,65,90,TRUE)))</f>
        <v>LAJZXWMDFLRF</v>
      </c>
      <c r="C117" s="2" t="s">
        <v>228</v>
      </c>
      <c r="D117" s="2" t="str">
        <f t="shared" si="1"/>
        <v>salmasaleh</v>
      </c>
    </row>
    <row r="118" spans="1:4" ht="15" x14ac:dyDescent="0.25">
      <c r="A118" s="2" t="s">
        <v>161</v>
      </c>
      <c r="B118" s="2" t="str" cm="1">
        <f t="array" aca="1" ref="B118" ca="1">_xlfn.TEXTJOIN("",,CHAR(_xlfn.RANDARRAY(12,1,65,90,TRUE)))</f>
        <v>FZFRHHMKTMPJ</v>
      </c>
      <c r="C118" s="2" t="s">
        <v>228</v>
      </c>
      <c r="D118" s="2" t="str">
        <f t="shared" si="1"/>
        <v>nourhanahmed02</v>
      </c>
    </row>
    <row r="119" spans="1:4" ht="15" x14ac:dyDescent="0.25">
      <c r="A119" s="2" t="s">
        <v>162</v>
      </c>
      <c r="B119" s="2" t="str" cm="1">
        <f t="array" aca="1" ref="B119" ca="1">_xlfn.TEXTJOIN("",,CHAR(_xlfn.RANDARRAY(12,1,65,90,TRUE)))</f>
        <v>SQQLKSGWKETW</v>
      </c>
      <c r="C119" s="2" t="s">
        <v>228</v>
      </c>
      <c r="D119" s="2" t="str">
        <f t="shared" si="1"/>
        <v>narimanhosny</v>
      </c>
    </row>
    <row r="120" spans="1:4" ht="15" x14ac:dyDescent="0.25">
      <c r="A120" s="2" t="s">
        <v>163</v>
      </c>
      <c r="B120" s="2" t="str" cm="1">
        <f t="array" aca="1" ref="B120" ca="1">_xlfn.TEXTJOIN("",,CHAR(_xlfn.RANDARRAY(12,1,65,90,TRUE)))</f>
        <v>GNXEKCQHAYLZ</v>
      </c>
      <c r="C120" s="2" t="s">
        <v>228</v>
      </c>
      <c r="D120" s="2" t="str">
        <f t="shared" si="1"/>
        <v>zeinabmohamed</v>
      </c>
    </row>
    <row r="121" spans="1:4" ht="15" x14ac:dyDescent="0.25">
      <c r="A121" s="2" t="s">
        <v>164</v>
      </c>
      <c r="B121" s="2" t="str" cm="1">
        <f t="array" aca="1" ref="B121" ca="1">_xlfn.TEXTJOIN("",,CHAR(_xlfn.RANDARRAY(12,1,65,90,TRUE)))</f>
        <v>HVJZCNIZZGGN</v>
      </c>
      <c r="C121" s="2" t="s">
        <v>228</v>
      </c>
      <c r="D121" s="2" t="str">
        <f t="shared" si="1"/>
        <v>lilianehelal</v>
      </c>
    </row>
    <row r="122" spans="1:4" ht="15" x14ac:dyDescent="0.25">
      <c r="A122" s="2" t="s">
        <v>165</v>
      </c>
      <c r="B122" s="2" t="str" cm="1">
        <f t="array" aca="1" ref="B122" ca="1">_xlfn.TEXTJOIN("",,CHAR(_xlfn.RANDARRAY(12,1,65,90,TRUE)))</f>
        <v>QORVHLAYZDOG</v>
      </c>
      <c r="C122" s="2" t="s">
        <v>228</v>
      </c>
      <c r="D122" s="2" t="str">
        <f t="shared" si="1"/>
        <v>ranazakaria</v>
      </c>
    </row>
    <row r="123" spans="1:4" ht="15" x14ac:dyDescent="0.25">
      <c r="A123" s="2" t="s">
        <v>166</v>
      </c>
      <c r="B123" s="2" t="str" cm="1">
        <f t="array" aca="1" ref="B123" ca="1">_xlfn.TEXTJOIN("",,CHAR(_xlfn.RANDARRAY(12,1,65,90,TRUE)))</f>
        <v>DEBWJGXSCSMM</v>
      </c>
      <c r="C123" s="2" t="s">
        <v>228</v>
      </c>
      <c r="D123" s="2" t="str">
        <f t="shared" si="1"/>
        <v>amirayoussef02</v>
      </c>
    </row>
    <row r="124" spans="1:4" ht="15" x14ac:dyDescent="0.25">
      <c r="A124" s="2" t="s">
        <v>167</v>
      </c>
      <c r="B124" s="2" t="str" cm="1">
        <f t="array" aca="1" ref="B124" ca="1">_xlfn.TEXTJOIN("",,CHAR(_xlfn.RANDARRAY(12,1,65,90,TRUE)))</f>
        <v>SHJZZYRFAQNL</v>
      </c>
      <c r="C124" s="2" t="s">
        <v>228</v>
      </c>
      <c r="D124" s="2" t="str">
        <f t="shared" si="1"/>
        <v>yasminhelmy</v>
      </c>
    </row>
    <row r="125" spans="1:4" ht="15" x14ac:dyDescent="0.25">
      <c r="A125" s="2" t="s">
        <v>168</v>
      </c>
      <c r="B125" s="2" t="str" cm="1">
        <f t="array" aca="1" ref="B125" ca="1">_xlfn.TEXTJOIN("",,CHAR(_xlfn.RANDARRAY(12,1,65,90,TRUE)))</f>
        <v>RQPZOLFGIOJJ</v>
      </c>
      <c r="C125" s="2" t="s">
        <v>228</v>
      </c>
      <c r="D125" s="2" t="str">
        <f t="shared" si="1"/>
        <v>janaibraheem</v>
      </c>
    </row>
    <row r="126" spans="1:4" ht="15" x14ac:dyDescent="0.25">
      <c r="A126" s="2" t="s">
        <v>169</v>
      </c>
      <c r="B126" s="2" t="str" cm="1">
        <f t="array" aca="1" ref="B126" ca="1">_xlfn.TEXTJOIN("",,CHAR(_xlfn.RANDARRAY(12,1,65,90,TRUE)))</f>
        <v>DVUQONOOWQCQ</v>
      </c>
      <c r="C126" s="2" t="s">
        <v>228</v>
      </c>
      <c r="D126" s="2" t="str">
        <f t="shared" si="1"/>
        <v>saraali02</v>
      </c>
    </row>
    <row r="127" spans="1:4" ht="15" x14ac:dyDescent="0.25">
      <c r="A127" s="2" t="s">
        <v>170</v>
      </c>
      <c r="B127" s="2" t="str" cm="1">
        <f t="array" aca="1" ref="B127" ca="1">_xlfn.TEXTJOIN("",,CHAR(_xlfn.RANDARRAY(12,1,65,90,TRUE)))</f>
        <v>PFTVJQOYXAXU</v>
      </c>
      <c r="C127" s="2" t="s">
        <v>228</v>
      </c>
      <c r="D127" s="2" t="str">
        <f t="shared" si="1"/>
        <v>shaimaaelsayed02</v>
      </c>
    </row>
    <row r="128" spans="1:4" ht="15" x14ac:dyDescent="0.25">
      <c r="A128" s="2" t="s">
        <v>171</v>
      </c>
      <c r="B128" s="2" t="str" cm="1">
        <f t="array" aca="1" ref="B128" ca="1">_xlfn.TEXTJOIN("",,CHAR(_xlfn.RANDARRAY(12,1,65,90,TRUE)))</f>
        <v>WZXDYJYPSDUU</v>
      </c>
      <c r="C128" s="2" t="s">
        <v>228</v>
      </c>
      <c r="D128" s="2" t="str">
        <f t="shared" si="1"/>
        <v>hadeerfahmy</v>
      </c>
    </row>
    <row r="129" spans="1:4" ht="15" x14ac:dyDescent="0.25">
      <c r="A129" s="2" t="s">
        <v>172</v>
      </c>
      <c r="B129" s="2" t="str" cm="1">
        <f t="array" aca="1" ref="B129" ca="1">_xlfn.TEXTJOIN("",,CHAR(_xlfn.RANDARRAY(12,1,65,90,TRUE)))</f>
        <v>CMLOLETAGLFK</v>
      </c>
      <c r="C129" s="2" t="s">
        <v>228</v>
      </c>
      <c r="D129" s="2" t="str">
        <f t="shared" si="1"/>
        <v>rawdamahmoud</v>
      </c>
    </row>
    <row r="130" spans="1:4" ht="15" x14ac:dyDescent="0.25">
      <c r="A130" s="2" t="s">
        <v>173</v>
      </c>
      <c r="B130" s="2" t="str" cm="1">
        <f t="array" aca="1" ref="B130" ca="1">_xlfn.TEXTJOIN("",,CHAR(_xlfn.RANDARRAY(12,1,65,90,TRUE)))</f>
        <v>HPOTWRENVXCF</v>
      </c>
      <c r="C130" s="2" t="s">
        <v>228</v>
      </c>
      <c r="D130" s="2" t="str">
        <f t="shared" si="1"/>
        <v>mennaabdallah</v>
      </c>
    </row>
    <row r="131" spans="1:4" ht="15" x14ac:dyDescent="0.25">
      <c r="A131" s="2" t="s">
        <v>174</v>
      </c>
      <c r="B131" s="2" t="str" cm="1">
        <f t="array" aca="1" ref="B131" ca="1">_xlfn.TEXTJOIN("",,CHAR(_xlfn.RANDARRAY(12,1,65,90,TRUE)))</f>
        <v>OCJTKVUVMXMC</v>
      </c>
      <c r="C131" s="2" t="s">
        <v>228</v>
      </c>
      <c r="D131" s="2" t="str">
        <f t="shared" ref="D131:D180" si="2">RIGHT(A131, LEN(A131) - FIND("_", A131))</f>
        <v>rahmamohamed</v>
      </c>
    </row>
    <row r="132" spans="1:4" ht="15" x14ac:dyDescent="0.25">
      <c r="A132" s="2" t="s">
        <v>175</v>
      </c>
      <c r="B132" s="2" t="str" cm="1">
        <f t="array" aca="1" ref="B132" ca="1">_xlfn.TEXTJOIN("",,CHAR(_xlfn.RANDARRAY(12,1,65,90,TRUE)))</f>
        <v>QNIFPYJUKDFM</v>
      </c>
      <c r="C132" s="2" t="s">
        <v>228</v>
      </c>
      <c r="D132" s="2" t="str">
        <f t="shared" si="2"/>
        <v>rahmasoliman</v>
      </c>
    </row>
    <row r="133" spans="1:4" ht="15" x14ac:dyDescent="0.25">
      <c r="A133" s="2" t="s">
        <v>176</v>
      </c>
      <c r="B133" s="2" t="str" cm="1">
        <f t="array" aca="1" ref="B133" ca="1">_xlfn.TEXTJOIN("",,CHAR(_xlfn.RANDARRAY(12,1,65,90,TRUE)))</f>
        <v>AOLRXFGPWDBN</v>
      </c>
      <c r="C133" s="2" t="s">
        <v>228</v>
      </c>
      <c r="D133" s="2" t="str">
        <f t="shared" si="2"/>
        <v>mahmoudnasser</v>
      </c>
    </row>
    <row r="134" spans="1:4" ht="15" x14ac:dyDescent="0.25">
      <c r="A134" s="2" t="s">
        <v>177</v>
      </c>
      <c r="B134" s="2" t="str" cm="1">
        <f t="array" aca="1" ref="B134" ca="1">_xlfn.TEXTJOIN("",,CHAR(_xlfn.RANDARRAY(12,1,65,90,TRUE)))</f>
        <v>XSNPQNKENLPL</v>
      </c>
      <c r="C134" s="2" t="s">
        <v>228</v>
      </c>
      <c r="D134" s="2" t="str">
        <f t="shared" si="2"/>
        <v>adelmohamed02</v>
      </c>
    </row>
    <row r="135" spans="1:4" ht="15" x14ac:dyDescent="0.25">
      <c r="A135" s="2" t="s">
        <v>178</v>
      </c>
      <c r="B135" s="2" t="str" cm="1">
        <f t="array" aca="1" ref="B135" ca="1">_xlfn.TEXTJOIN("",,CHAR(_xlfn.RANDARRAY(12,1,65,90,TRUE)))</f>
        <v>CKZMNCTNNWVN</v>
      </c>
      <c r="C135" s="2" t="s">
        <v>228</v>
      </c>
      <c r="D135" s="2" t="str">
        <f t="shared" si="2"/>
        <v>mohamedzaky</v>
      </c>
    </row>
    <row r="136" spans="1:4" ht="15" x14ac:dyDescent="0.25">
      <c r="A136" s="2" t="s">
        <v>179</v>
      </c>
      <c r="B136" s="2" t="str" cm="1">
        <f t="array" aca="1" ref="B136" ca="1">_xlfn.TEXTJOIN("",,CHAR(_xlfn.RANDARRAY(12,1,65,90,TRUE)))</f>
        <v>JMIZYOAUFELA</v>
      </c>
      <c r="C136" s="2" t="s">
        <v>228</v>
      </c>
      <c r="D136" s="2" t="str">
        <f t="shared" si="2"/>
        <v>mohamedali06</v>
      </c>
    </row>
    <row r="137" spans="1:4" ht="15" x14ac:dyDescent="0.25">
      <c r="A137" s="2" t="s">
        <v>180</v>
      </c>
      <c r="B137" s="2" t="str" cm="1">
        <f t="array" aca="1" ref="B137" ca="1">_xlfn.TEXTJOIN("",,CHAR(_xlfn.RANDARRAY(12,1,65,90,TRUE)))</f>
        <v>XVXADYZXQIKW</v>
      </c>
      <c r="C137" s="2" t="s">
        <v>228</v>
      </c>
      <c r="D137" s="2" t="str">
        <f t="shared" si="2"/>
        <v>mohamedahmed11</v>
      </c>
    </row>
    <row r="138" spans="1:4" ht="15" x14ac:dyDescent="0.25">
      <c r="A138" s="2" t="s">
        <v>181</v>
      </c>
      <c r="B138" s="2" t="str" cm="1">
        <f t="array" aca="1" ref="B138" ca="1">_xlfn.TEXTJOIN("",,CHAR(_xlfn.RANDARRAY(12,1,65,90,TRUE)))</f>
        <v>TJIBBEHNZTAV</v>
      </c>
      <c r="C138" s="2" t="s">
        <v>228</v>
      </c>
      <c r="D138" s="2" t="str">
        <f t="shared" si="2"/>
        <v>mohamedattaya</v>
      </c>
    </row>
    <row r="139" spans="1:4" ht="15" x14ac:dyDescent="0.25">
      <c r="A139" s="2" t="s">
        <v>182</v>
      </c>
      <c r="B139" s="2" t="str" cm="1">
        <f t="array" aca="1" ref="B139" ca="1">_xlfn.TEXTJOIN("",,CHAR(_xlfn.RANDARRAY(12,1,65,90,TRUE)))</f>
        <v>QVIUOPTFJDUM</v>
      </c>
      <c r="C139" s="2" t="s">
        <v>228</v>
      </c>
      <c r="D139" s="2" t="str">
        <f t="shared" si="2"/>
        <v>eslamibrahim</v>
      </c>
    </row>
    <row r="140" spans="1:4" ht="15" x14ac:dyDescent="0.25">
      <c r="A140" s="2" t="s">
        <v>183</v>
      </c>
      <c r="B140" s="2" t="str" cm="1">
        <f t="array" aca="1" ref="B140" ca="1">_xlfn.TEXTJOIN("",,CHAR(_xlfn.RANDARRAY(12,1,65,90,TRUE)))</f>
        <v>VDUBGPQAAXLO</v>
      </c>
      <c r="C140" s="2" t="s">
        <v>228</v>
      </c>
      <c r="D140" s="2" t="str">
        <f t="shared" si="2"/>
        <v>mohamedhay02</v>
      </c>
    </row>
    <row r="141" spans="1:4" ht="15" x14ac:dyDescent="0.25">
      <c r="A141" s="2" t="s">
        <v>184</v>
      </c>
      <c r="B141" s="2" t="str" cm="1">
        <f t="array" aca="1" ref="B141" ca="1">_xlfn.TEXTJOIN("",,CHAR(_xlfn.RANDARRAY(12,1,65,90,TRUE)))</f>
        <v>AMWRTQNLAQSJ</v>
      </c>
      <c r="C141" s="2" t="s">
        <v>228</v>
      </c>
      <c r="D141" s="2" t="str">
        <f t="shared" si="2"/>
        <v>mohammedmohameed</v>
      </c>
    </row>
    <row r="142" spans="1:4" ht="15" x14ac:dyDescent="0.25">
      <c r="A142" s="2" t="s">
        <v>185</v>
      </c>
      <c r="B142" s="2" t="str" cm="1">
        <f t="array" aca="1" ref="B142" ca="1">_xlfn.TEXTJOIN("",,CHAR(_xlfn.RANDARRAY(12,1,65,90,TRUE)))</f>
        <v>AUNGHQBEISOW</v>
      </c>
      <c r="C142" s="2" t="s">
        <v>228</v>
      </c>
      <c r="D142" s="2" t="str">
        <f t="shared" si="2"/>
        <v>ahmedahmed08</v>
      </c>
    </row>
    <row r="143" spans="1:4" ht="15" x14ac:dyDescent="0.25">
      <c r="A143" s="2" t="s">
        <v>186</v>
      </c>
      <c r="B143" s="2" t="str" cm="1">
        <f t="array" aca="1" ref="B143" ca="1">_xlfn.TEXTJOIN("",,CHAR(_xlfn.RANDARRAY(12,1,65,90,TRUE)))</f>
        <v>WCCLUJQXEQTT</v>
      </c>
      <c r="C143" s="2" t="s">
        <v>228</v>
      </c>
      <c r="D143" s="2" t="str">
        <f t="shared" si="2"/>
        <v>abdelrahmansaadawy</v>
      </c>
    </row>
    <row r="144" spans="1:4" ht="15" x14ac:dyDescent="0.25">
      <c r="A144" s="2" t="s">
        <v>187</v>
      </c>
      <c r="B144" s="2" t="str" cm="1">
        <f t="array" aca="1" ref="B144" ca="1">_xlfn.TEXTJOIN("",,CHAR(_xlfn.RANDARRAY(12,1,65,90,TRUE)))</f>
        <v>YVVGZXUAPTKI</v>
      </c>
      <c r="C144" s="2" t="s">
        <v>228</v>
      </c>
      <c r="D144" s="2" t="str">
        <f t="shared" si="2"/>
        <v>mohamedmohi</v>
      </c>
    </row>
    <row r="145" spans="1:4" ht="15" x14ac:dyDescent="0.25">
      <c r="A145" s="2" t="s">
        <v>188</v>
      </c>
      <c r="B145" s="2" t="str" cm="1">
        <f t="array" aca="1" ref="B145" ca="1">_xlfn.TEXTJOIN("",,CHAR(_xlfn.RANDARRAY(12,1,65,90,TRUE)))</f>
        <v>WBVFXRBPPJFG</v>
      </c>
      <c r="C145" s="2" t="s">
        <v>228</v>
      </c>
      <c r="D145" s="2" t="str">
        <f t="shared" si="2"/>
        <v>abdelrahmangaber</v>
      </c>
    </row>
    <row r="146" spans="1:4" ht="15" x14ac:dyDescent="0.25">
      <c r="A146" s="2" t="s">
        <v>189</v>
      </c>
      <c r="B146" s="2" t="str" cm="1">
        <f t="array" aca="1" ref="B146" ca="1">_xlfn.TEXTJOIN("",,CHAR(_xlfn.RANDARRAY(12,1,65,90,TRUE)))</f>
        <v>PHVFLLDBIRIO</v>
      </c>
      <c r="C146" s="2" t="s">
        <v>228</v>
      </c>
      <c r="D146" s="2" t="str">
        <f t="shared" si="2"/>
        <v>mohamedmohamed18</v>
      </c>
    </row>
    <row r="147" spans="1:4" ht="15" x14ac:dyDescent="0.25">
      <c r="A147" s="2" t="s">
        <v>190</v>
      </c>
      <c r="B147" s="2" t="str" cm="1">
        <f t="array" aca="1" ref="B147" ca="1">_xlfn.TEXTJOIN("",,CHAR(_xlfn.RANDARRAY(12,1,65,90,TRUE)))</f>
        <v>RAODGBLYMMUZ</v>
      </c>
      <c r="C147" s="2" t="s">
        <v>228</v>
      </c>
      <c r="D147" s="2" t="str">
        <f t="shared" si="2"/>
        <v>tarekmohieeldien</v>
      </c>
    </row>
    <row r="148" spans="1:4" ht="15" x14ac:dyDescent="0.25">
      <c r="A148" s="2" t="s">
        <v>191</v>
      </c>
      <c r="B148" s="2" t="str" cm="1">
        <f t="array" aca="1" ref="B148" ca="1">_xlfn.TEXTJOIN("",,CHAR(_xlfn.RANDARRAY(12,1,65,90,TRUE)))</f>
        <v>COWDQQKEWINQ</v>
      </c>
      <c r="C148" s="2" t="s">
        <v>228</v>
      </c>
      <c r="D148" s="2" t="str">
        <f t="shared" si="2"/>
        <v>mohamedgamil</v>
      </c>
    </row>
    <row r="149" spans="1:4" ht="15" x14ac:dyDescent="0.25">
      <c r="A149" s="2" t="s">
        <v>192</v>
      </c>
      <c r="B149" s="2" t="str" cm="1">
        <f t="array" aca="1" ref="B149" ca="1">_xlfn.TEXTJOIN("",,CHAR(_xlfn.RANDARRAY(12,1,65,90,TRUE)))</f>
        <v>LUQQKWBSOQHP</v>
      </c>
      <c r="C149" s="2" t="s">
        <v>228</v>
      </c>
      <c r="D149" s="2" t="str">
        <f t="shared" si="2"/>
        <v>mohamedserry</v>
      </c>
    </row>
    <row r="150" spans="1:4" ht="15" x14ac:dyDescent="0.25">
      <c r="A150" s="2" t="s">
        <v>193</v>
      </c>
      <c r="B150" s="2" t="str" cm="1">
        <f t="array" aca="1" ref="B150" ca="1">_xlfn.TEXTJOIN("",,CHAR(_xlfn.RANDARRAY(12,1,65,90,TRUE)))</f>
        <v>PPBSUIFUVEVK</v>
      </c>
      <c r="C150" s="2" t="s">
        <v>228</v>
      </c>
      <c r="D150" s="2" t="str">
        <f t="shared" si="2"/>
        <v>mohsenhamed</v>
      </c>
    </row>
    <row r="151" spans="1:4" ht="15" x14ac:dyDescent="0.25">
      <c r="A151" s="2" t="s">
        <v>194</v>
      </c>
      <c r="B151" s="2" t="str" cm="1">
        <f t="array" aca="1" ref="B151" ca="1">_xlfn.TEXTJOIN("",,CHAR(_xlfn.RANDARRAY(12,1,65,90,TRUE)))</f>
        <v>ZZPAASPCRMAX</v>
      </c>
      <c r="C151" s="2" t="s">
        <v>228</v>
      </c>
      <c r="D151" s="2" t="str">
        <f t="shared" si="2"/>
        <v>mohamedgaber</v>
      </c>
    </row>
    <row r="152" spans="1:4" ht="15" x14ac:dyDescent="0.25">
      <c r="A152" s="2" t="s">
        <v>195</v>
      </c>
      <c r="B152" s="2" t="str" cm="1">
        <f t="array" aca="1" ref="B152" ca="1">_xlfn.TEXTJOIN("",,CHAR(_xlfn.RANDARRAY(12,1,65,90,TRUE)))</f>
        <v>GOGDDRQMZLNR</v>
      </c>
      <c r="C152" s="2" t="s">
        <v>228</v>
      </c>
      <c r="D152" s="2" t="str">
        <f t="shared" si="2"/>
        <v>moamenelghafar</v>
      </c>
    </row>
    <row r="153" spans="1:4" ht="15" x14ac:dyDescent="0.25">
      <c r="A153" s="2" t="s">
        <v>196</v>
      </c>
      <c r="B153" s="2" t="str" cm="1">
        <f t="array" aca="1" ref="B153" ca="1">_xlfn.TEXTJOIN("",,CHAR(_xlfn.RANDARRAY(12,1,65,90,TRUE)))</f>
        <v>ZYCOFZXGBEXJ</v>
      </c>
      <c r="C153" s="2" t="s">
        <v>228</v>
      </c>
      <c r="D153" s="2" t="str">
        <f t="shared" si="2"/>
        <v>amrrazik</v>
      </c>
    </row>
    <row r="154" spans="1:4" ht="15" x14ac:dyDescent="0.25">
      <c r="A154" s="2" t="s">
        <v>197</v>
      </c>
      <c r="B154" s="2" t="str" cm="1">
        <f t="array" aca="1" ref="B154" ca="1">_xlfn.TEXTJOIN("",,CHAR(_xlfn.RANDARRAY(12,1,65,90,TRUE)))</f>
        <v>UDUPUYFNMCJP</v>
      </c>
      <c r="C154" s="2" t="s">
        <v>228</v>
      </c>
      <c r="D154" s="2" t="str">
        <f t="shared" si="2"/>
        <v>adhamhaliem</v>
      </c>
    </row>
    <row r="155" spans="1:4" ht="15" x14ac:dyDescent="0.25">
      <c r="A155" s="2" t="s">
        <v>198</v>
      </c>
      <c r="B155" s="2" t="str" cm="1">
        <f t="array" aca="1" ref="B155" ca="1">_xlfn.TEXTJOIN("",,CHAR(_xlfn.RANDARRAY(12,1,65,90,TRUE)))</f>
        <v>HWGCSATQAHNF</v>
      </c>
      <c r="C155" s="2" t="s">
        <v>228</v>
      </c>
      <c r="D155" s="2" t="str">
        <f t="shared" si="2"/>
        <v>mohamedmahmoud06</v>
      </c>
    </row>
    <row r="156" spans="1:4" ht="15" x14ac:dyDescent="0.25">
      <c r="A156" s="2" t="s">
        <v>199</v>
      </c>
      <c r="B156" s="2" t="str" cm="1">
        <f t="array" aca="1" ref="B156" ca="1">_xlfn.TEXTJOIN("",,CHAR(_xlfn.RANDARRAY(12,1,65,90,TRUE)))</f>
        <v>XCOYYJGQMWVZ</v>
      </c>
      <c r="C156" s="2" t="s">
        <v>228</v>
      </c>
      <c r="D156" s="2" t="str">
        <f t="shared" si="2"/>
        <v>ahmedkhalil</v>
      </c>
    </row>
    <row r="157" spans="1:4" ht="15" x14ac:dyDescent="0.25">
      <c r="A157" s="2" t="s">
        <v>200</v>
      </c>
      <c r="B157" s="2" t="str" cm="1">
        <f t="array" aca="1" ref="B157" ca="1">_xlfn.TEXTJOIN("",,CHAR(_xlfn.RANDARRAY(12,1,65,90,TRUE)))</f>
        <v>YESSHPUDCLDH</v>
      </c>
      <c r="C157" s="2" t="s">
        <v>228</v>
      </c>
      <c r="D157" s="2" t="str">
        <f t="shared" si="2"/>
        <v>minazaki</v>
      </c>
    </row>
    <row r="158" spans="1:4" ht="15" x14ac:dyDescent="0.25">
      <c r="A158" s="2" t="s">
        <v>201</v>
      </c>
      <c r="B158" s="2" t="str" cm="1">
        <f t="array" aca="1" ref="B158" ca="1">_xlfn.TEXTJOIN("",,CHAR(_xlfn.RANDARRAY(12,1,65,90,TRUE)))</f>
        <v>EATODXEVMKBV</v>
      </c>
      <c r="C158" s="2" t="s">
        <v>228</v>
      </c>
      <c r="D158" s="2" t="str">
        <f t="shared" si="2"/>
        <v>ahmedothman</v>
      </c>
    </row>
    <row r="159" spans="1:4" ht="15" x14ac:dyDescent="0.25">
      <c r="A159" s="2" t="s">
        <v>202</v>
      </c>
      <c r="B159" s="2" t="str" cm="1">
        <f t="array" aca="1" ref="B159" ca="1">_xlfn.TEXTJOIN("",,CHAR(_xlfn.RANDARRAY(12,1,65,90,TRUE)))</f>
        <v>KCBPEURZIMGM</v>
      </c>
      <c r="C159" s="2" t="s">
        <v>228</v>
      </c>
      <c r="D159" s="2" t="str">
        <f t="shared" si="2"/>
        <v>abdelrhmanahmed02</v>
      </c>
    </row>
    <row r="160" spans="1:4" ht="15" x14ac:dyDescent="0.25">
      <c r="A160" s="2" t="s">
        <v>203</v>
      </c>
      <c r="B160" s="2" t="str" cm="1">
        <f t="array" aca="1" ref="B160" ca="1">_xlfn.TEXTJOIN("",,CHAR(_xlfn.RANDARRAY(12,1,65,90,TRUE)))</f>
        <v>BRODQXMPKSSJ</v>
      </c>
      <c r="C160" s="2" t="s">
        <v>228</v>
      </c>
      <c r="D160" s="2" t="str">
        <f t="shared" si="2"/>
        <v>abdullahhassan03</v>
      </c>
    </row>
    <row r="161" spans="1:4" ht="15" x14ac:dyDescent="0.25">
      <c r="A161" s="2" t="s">
        <v>204</v>
      </c>
      <c r="B161" s="2" t="str" cm="1">
        <f t="array" aca="1" ref="B161" ca="1">_xlfn.TEXTJOIN("",,CHAR(_xlfn.RANDARRAY(12,1,65,90,TRUE)))</f>
        <v>XQTQBVXJNHEX</v>
      </c>
      <c r="C161" s="2" t="s">
        <v>228</v>
      </c>
      <c r="D161" s="2" t="str">
        <f t="shared" si="2"/>
        <v>youssefattia</v>
      </c>
    </row>
    <row r="162" spans="1:4" ht="15" x14ac:dyDescent="0.25">
      <c r="A162" s="2" t="s">
        <v>205</v>
      </c>
      <c r="B162" s="2" t="str" cm="1">
        <f t="array" aca="1" ref="B162" ca="1">_xlfn.TEXTJOIN("",,CHAR(_xlfn.RANDARRAY(12,1,65,90,TRUE)))</f>
        <v>INXCJVCEMWLT</v>
      </c>
      <c r="C162" s="2" t="s">
        <v>228</v>
      </c>
      <c r="D162" s="2" t="str">
        <f t="shared" si="2"/>
        <v>hamdyhamdy</v>
      </c>
    </row>
    <row r="163" spans="1:4" ht="15" x14ac:dyDescent="0.25">
      <c r="A163" s="2" t="s">
        <v>206</v>
      </c>
      <c r="B163" s="2" t="str" cm="1">
        <f t="array" aca="1" ref="B163" ca="1">_xlfn.TEXTJOIN("",,CHAR(_xlfn.RANDARRAY(12,1,65,90,TRUE)))</f>
        <v>AYIANCOULZCS</v>
      </c>
      <c r="C163" s="2" t="s">
        <v>228</v>
      </c>
      <c r="D163" s="2" t="str">
        <f t="shared" si="2"/>
        <v>mazenmahfouz</v>
      </c>
    </row>
    <row r="164" spans="1:4" ht="15" x14ac:dyDescent="0.25">
      <c r="A164" s="2" t="s">
        <v>207</v>
      </c>
      <c r="B164" s="2" t="str" cm="1">
        <f t="array" aca="1" ref="B164" ca="1">_xlfn.TEXTJOIN("",,CHAR(_xlfn.RANDARRAY(12,1,65,90,TRUE)))</f>
        <v>PLCXVFNKYPSF</v>
      </c>
      <c r="C164" s="2" t="s">
        <v>228</v>
      </c>
      <c r="D164" s="2" t="str">
        <f t="shared" si="2"/>
        <v>mohamedabdelfattah02</v>
      </c>
    </row>
    <row r="165" spans="1:4" ht="15" x14ac:dyDescent="0.25">
      <c r="A165" s="2" t="s">
        <v>208</v>
      </c>
      <c r="B165" s="2" t="str" cm="1">
        <f t="array" aca="1" ref="B165" ca="1">_xlfn.TEXTJOIN("",,CHAR(_xlfn.RANDARRAY(12,1,65,90,TRUE)))</f>
        <v>EPLNXVDGCYXX</v>
      </c>
      <c r="C165" s="2" t="s">
        <v>228</v>
      </c>
      <c r="D165" s="2" t="str">
        <f t="shared" si="2"/>
        <v>johnshawky</v>
      </c>
    </row>
    <row r="166" spans="1:4" ht="15" x14ac:dyDescent="0.25">
      <c r="A166" s="2" t="s">
        <v>209</v>
      </c>
      <c r="B166" s="2" t="str" cm="1">
        <f t="array" aca="1" ref="B166" ca="1">_xlfn.TEXTJOIN("",,CHAR(_xlfn.RANDARRAY(12,1,65,90,TRUE)))</f>
        <v>DUFHAEVMDYNB</v>
      </c>
      <c r="C166" s="2" t="s">
        <v>228</v>
      </c>
      <c r="D166" s="2" t="str">
        <f t="shared" si="2"/>
        <v>habibamohamed</v>
      </c>
    </row>
    <row r="167" spans="1:4" ht="15" x14ac:dyDescent="0.25">
      <c r="A167" s="2" t="s">
        <v>210</v>
      </c>
      <c r="B167" s="2" t="str" cm="1">
        <f t="array" aca="1" ref="B167" ca="1">_xlfn.TEXTJOIN("",,CHAR(_xlfn.RANDARRAY(12,1,65,90,TRUE)))</f>
        <v>NEUIWUPJPHPK</v>
      </c>
      <c r="C167" s="2" t="s">
        <v>228</v>
      </c>
      <c r="D167" s="2" t="str">
        <f t="shared" si="2"/>
        <v>roaaahmed</v>
      </c>
    </row>
    <row r="168" spans="1:4" ht="15" x14ac:dyDescent="0.25">
      <c r="A168" s="2" t="s">
        <v>211</v>
      </c>
      <c r="B168" s="2" t="str" cm="1">
        <f t="array" aca="1" ref="B168" ca="1">_xlfn.TEXTJOIN("",,CHAR(_xlfn.RANDARRAY(12,1,65,90,TRUE)))</f>
        <v>MVHRYPNOHPMJ</v>
      </c>
      <c r="C168" s="2" t="s">
        <v>228</v>
      </c>
      <c r="D168" s="2" t="str">
        <f t="shared" si="2"/>
        <v>esraaali</v>
      </c>
    </row>
    <row r="169" spans="1:4" ht="15" x14ac:dyDescent="0.25">
      <c r="A169" s="2" t="s">
        <v>212</v>
      </c>
      <c r="B169" s="2" t="str" cm="1">
        <f t="array" aca="1" ref="B169" ca="1">_xlfn.TEXTJOIN("",,CHAR(_xlfn.RANDARRAY(12,1,65,90,TRUE)))</f>
        <v>UXRMDLDHNSNC</v>
      </c>
      <c r="C169" s="2" t="s">
        <v>228</v>
      </c>
      <c r="D169" s="2" t="str">
        <f t="shared" si="2"/>
        <v>abuzeidhassan</v>
      </c>
    </row>
    <row r="170" spans="1:4" ht="15" x14ac:dyDescent="0.25">
      <c r="A170" s="2" t="s">
        <v>213</v>
      </c>
      <c r="B170" s="2" t="str" cm="1">
        <f t="array" aca="1" ref="B170" ca="1">_xlfn.TEXTJOIN("",,CHAR(_xlfn.RANDARRAY(12,1,65,90,TRUE)))</f>
        <v>IGGOWSUPDWAS</v>
      </c>
      <c r="C170" s="2" t="s">
        <v>228</v>
      </c>
      <c r="D170" s="2" t="str">
        <f t="shared" si="2"/>
        <v>ahmedmahdy</v>
      </c>
    </row>
    <row r="171" spans="1:4" ht="15" x14ac:dyDescent="0.25">
      <c r="A171" s="2" t="s">
        <v>214</v>
      </c>
      <c r="B171" s="2" t="str" cm="1">
        <f t="array" aca="1" ref="B171" ca="1">_xlfn.TEXTJOIN("",,CHAR(_xlfn.RANDARRAY(12,1,65,90,TRUE)))</f>
        <v>VQMYXDESRNBC</v>
      </c>
      <c r="C171" s="2" t="s">
        <v>228</v>
      </c>
      <c r="D171" s="2" t="str">
        <f t="shared" si="2"/>
        <v>ahmedmahmoud07</v>
      </c>
    </row>
    <row r="172" spans="1:4" ht="15" x14ac:dyDescent="0.25">
      <c r="A172" s="2" t="s">
        <v>215</v>
      </c>
      <c r="B172" s="2" t="str" cm="1">
        <f t="array" aca="1" ref="B172" ca="1">_xlfn.TEXTJOIN("",,CHAR(_xlfn.RANDARRAY(12,1,65,90,TRUE)))</f>
        <v>XYEUTVAQNVMR</v>
      </c>
      <c r="C172" s="2" t="s">
        <v>228</v>
      </c>
      <c r="D172" s="2" t="str">
        <f t="shared" si="2"/>
        <v>arsanygayed</v>
      </c>
    </row>
    <row r="173" spans="1:4" ht="15" x14ac:dyDescent="0.25">
      <c r="A173" s="2" t="s">
        <v>216</v>
      </c>
      <c r="B173" s="2" t="str" cm="1">
        <f t="array" aca="1" ref="B173" ca="1">_xlfn.TEXTJOIN("",,CHAR(_xlfn.RANDARRAY(12,1,65,90,TRUE)))</f>
        <v>OCMASWTVKYRR</v>
      </c>
      <c r="C173" s="2" t="s">
        <v>228</v>
      </c>
      <c r="D173" s="2" t="str">
        <f t="shared" si="2"/>
        <v>mohamednady</v>
      </c>
    </row>
    <row r="174" spans="1:4" ht="15" x14ac:dyDescent="0.25">
      <c r="A174" s="2" t="s">
        <v>217</v>
      </c>
      <c r="B174" s="2" t="str" cm="1">
        <f t="array" aca="1" ref="B174" ca="1">_xlfn.TEXTJOIN("",,CHAR(_xlfn.RANDARRAY(12,1,65,90,TRUE)))</f>
        <v>SIKKNMKLXRAB</v>
      </c>
      <c r="C174" s="2" t="s">
        <v>228</v>
      </c>
      <c r="D174" s="2" t="str">
        <f t="shared" si="2"/>
        <v>doaamohamed04</v>
      </c>
    </row>
    <row r="175" spans="1:4" ht="15" x14ac:dyDescent="0.25">
      <c r="A175" s="2" t="s">
        <v>218</v>
      </c>
      <c r="B175" s="2" t="str" cm="1">
        <f t="array" aca="1" ref="B175" ca="1">_xlfn.TEXTJOIN("",,CHAR(_xlfn.RANDARRAY(12,1,65,90,TRUE)))</f>
        <v>MIAKZHPZMWKE</v>
      </c>
      <c r="C175" s="2" t="s">
        <v>228</v>
      </c>
      <c r="D175" s="2" t="str">
        <f t="shared" si="2"/>
        <v>enjymohamed</v>
      </c>
    </row>
    <row r="176" spans="1:4" ht="15" x14ac:dyDescent="0.25">
      <c r="A176" s="2" t="s">
        <v>219</v>
      </c>
      <c r="B176" s="2" t="str" cm="1">
        <f t="array" aca="1" ref="B176" ca="1">_xlfn.TEXTJOIN("",,CHAR(_xlfn.RANDARRAY(12,1,65,90,TRUE)))</f>
        <v>ZPONAQELHCVY</v>
      </c>
      <c r="C176" s="2" t="s">
        <v>228</v>
      </c>
      <c r="D176" s="2" t="str">
        <f t="shared" si="2"/>
        <v>hassanhassan05</v>
      </c>
    </row>
    <row r="177" spans="1:4" ht="15" x14ac:dyDescent="0.25">
      <c r="A177" s="2" t="s">
        <v>220</v>
      </c>
      <c r="B177" s="2" t="str" cm="1">
        <f t="array" aca="1" ref="B177" ca="1">_xlfn.TEXTJOIN("",,CHAR(_xlfn.RANDARRAY(12,1,65,90,TRUE)))</f>
        <v>ANUFHELNRUBK</v>
      </c>
      <c r="C177" s="2" t="s">
        <v>228</v>
      </c>
      <c r="D177" s="2" t="str">
        <f t="shared" si="2"/>
        <v>hossamzaghlol</v>
      </c>
    </row>
    <row r="178" spans="1:4" ht="15" x14ac:dyDescent="0.25">
      <c r="A178" s="2" t="s">
        <v>221</v>
      </c>
      <c r="B178" s="2" t="str" cm="1">
        <f t="array" aca="1" ref="B178" ca="1">_xlfn.TEXTJOIN("",,CHAR(_xlfn.RANDARRAY(12,1,65,90,TRUE)))</f>
        <v>XDZAWSEUEIAZ</v>
      </c>
      <c r="C178" s="2" t="s">
        <v>228</v>
      </c>
      <c r="D178" s="2" t="str">
        <f t="shared" si="2"/>
        <v>marinanabeeh</v>
      </c>
    </row>
    <row r="179" spans="1:4" ht="15" x14ac:dyDescent="0.25">
      <c r="A179" s="2" t="s">
        <v>222</v>
      </c>
      <c r="B179" s="2" t="str" cm="1">
        <f t="array" aca="1" ref="B179" ca="1">_xlfn.TEXTJOIN("",,CHAR(_xlfn.RANDARRAY(12,1,65,90,TRUE)))</f>
        <v>EBLBRJXUFHRN</v>
      </c>
      <c r="C179" s="2" t="s">
        <v>228</v>
      </c>
      <c r="D179" s="2" t="str">
        <f t="shared" si="2"/>
        <v>mostafahussien02</v>
      </c>
    </row>
    <row r="180" spans="1:4" ht="15" x14ac:dyDescent="0.25">
      <c r="A180" s="2" t="s">
        <v>223</v>
      </c>
      <c r="B180" s="2" t="str" cm="1">
        <f t="array" aca="1" ref="B180" ca="1">_xlfn.TEXTJOIN("",,CHAR(_xlfn.RANDARRAY(12,1,65,90,TRUE)))</f>
        <v>KQJSHTBYXBFF</v>
      </c>
      <c r="C180" s="2" t="s">
        <v>228</v>
      </c>
      <c r="D180" s="2" t="str">
        <f t="shared" si="2"/>
        <v>wessamanwar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KPIDB</vt:lpstr>
      <vt:lpstr>AGENTDB</vt:lpstr>
      <vt:lpstr>DRAFT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HUSSEIN ALI</cp:lastModifiedBy>
  <dcterms:modified xsi:type="dcterms:W3CDTF">2026-01-03T16:36:42Z</dcterms:modified>
</cp:coreProperties>
</file>